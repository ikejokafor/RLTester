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kennaOkafor\Desktop\"/>
    </mc:Choice>
  </mc:AlternateContent>
  <bookViews>
    <workbookView xWindow="1020" yWindow="0" windowWidth="28800" windowHeight="1222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2" i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G47" i="1"/>
  <c r="J47" i="1" s="1"/>
  <c r="G48" i="1"/>
  <c r="J48" i="1" s="1"/>
  <c r="G49" i="1"/>
  <c r="J49" i="1" s="1"/>
  <c r="G50" i="1"/>
  <c r="J50" i="1" s="1"/>
  <c r="E50" i="1"/>
  <c r="H50" i="1" s="1"/>
  <c r="E49" i="1"/>
  <c r="H49" i="1" s="1"/>
  <c r="E48" i="1"/>
  <c r="H48" i="1" s="1"/>
  <c r="E47" i="1"/>
  <c r="H47" i="1" s="1"/>
  <c r="E46" i="1"/>
  <c r="H46" i="1" s="1"/>
  <c r="E45" i="1"/>
  <c r="H45" i="1" s="1"/>
  <c r="E44" i="1"/>
  <c r="H44" i="1" s="1"/>
  <c r="E43" i="1"/>
  <c r="H43" i="1" s="1"/>
  <c r="E42" i="1"/>
  <c r="H42" i="1" s="1"/>
  <c r="E41" i="1"/>
  <c r="H41" i="1" s="1"/>
  <c r="E40" i="1"/>
  <c r="H40" i="1" s="1"/>
  <c r="E39" i="1"/>
  <c r="H39" i="1" s="1"/>
  <c r="E38" i="1"/>
  <c r="H38" i="1" s="1"/>
  <c r="E37" i="1"/>
  <c r="H37" i="1" s="1"/>
  <c r="E36" i="1"/>
  <c r="H36" i="1" s="1"/>
  <c r="E35" i="1"/>
  <c r="H35" i="1" s="1"/>
  <c r="E34" i="1"/>
  <c r="H34" i="1" s="1"/>
  <c r="E33" i="1"/>
  <c r="H33" i="1" s="1"/>
  <c r="E32" i="1"/>
  <c r="H32" i="1" s="1"/>
  <c r="E31" i="1"/>
  <c r="H31" i="1" s="1"/>
  <c r="E30" i="1"/>
  <c r="H30" i="1" s="1"/>
  <c r="E29" i="1"/>
  <c r="H29" i="1" s="1"/>
  <c r="E28" i="1"/>
  <c r="H28" i="1" s="1"/>
  <c r="E27" i="1"/>
  <c r="H27" i="1" s="1"/>
  <c r="E26" i="1"/>
  <c r="H26" i="1" s="1"/>
  <c r="E25" i="1"/>
  <c r="H25" i="1" s="1"/>
  <c r="E24" i="1"/>
  <c r="H24" i="1" s="1"/>
  <c r="E23" i="1"/>
  <c r="H23" i="1" s="1"/>
  <c r="E22" i="1"/>
  <c r="H22" i="1" s="1"/>
  <c r="E21" i="1"/>
  <c r="H21" i="1" s="1"/>
  <c r="E20" i="1"/>
  <c r="H20" i="1" s="1"/>
  <c r="E19" i="1"/>
  <c r="H19" i="1" s="1"/>
  <c r="E18" i="1"/>
  <c r="H18" i="1" s="1"/>
  <c r="E17" i="1"/>
  <c r="H17" i="1" s="1"/>
  <c r="E16" i="1"/>
  <c r="H16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E15" i="1"/>
  <c r="H15" i="1" s="1"/>
  <c r="E14" i="1"/>
  <c r="H14" i="1" s="1"/>
  <c r="E13" i="1"/>
  <c r="H13" i="1" s="1"/>
  <c r="E12" i="1"/>
  <c r="H12" i="1" s="1"/>
  <c r="E11" i="1"/>
  <c r="H11" i="1" s="1"/>
  <c r="E10" i="1"/>
  <c r="H10" i="1" s="1"/>
  <c r="E9" i="1"/>
  <c r="H9" i="1" s="1"/>
  <c r="K37" i="1" l="1"/>
  <c r="K27" i="1"/>
  <c r="J23" i="1"/>
  <c r="L23" i="1" s="1"/>
  <c r="M23" i="1" s="1"/>
  <c r="J15" i="1"/>
  <c r="K15" i="1" s="1"/>
  <c r="K31" i="1"/>
  <c r="K41" i="1"/>
  <c r="K25" i="1"/>
  <c r="K17" i="1"/>
  <c r="J46" i="1"/>
  <c r="K46" i="1" s="1"/>
  <c r="J30" i="1"/>
  <c r="K30" i="1" s="1"/>
  <c r="K24" i="1"/>
  <c r="I13" i="1"/>
  <c r="I32" i="1"/>
  <c r="I33" i="1"/>
  <c r="I41" i="1"/>
  <c r="I49" i="1"/>
  <c r="I11" i="1"/>
  <c r="I15" i="1"/>
  <c r="I24" i="1"/>
  <c r="I40" i="1"/>
  <c r="I25" i="1"/>
  <c r="I20" i="1"/>
  <c r="I16" i="1"/>
  <c r="I48" i="1"/>
  <c r="I17" i="1"/>
  <c r="I19" i="1"/>
  <c r="I28" i="1"/>
  <c r="I44" i="1"/>
  <c r="I36" i="1"/>
  <c r="I12" i="1"/>
  <c r="I21" i="1"/>
  <c r="I29" i="1"/>
  <c r="I37" i="1"/>
  <c r="I45" i="1"/>
  <c r="L48" i="1"/>
  <c r="M48" i="1" s="1"/>
  <c r="L40" i="1"/>
  <c r="M40" i="1" s="1"/>
  <c r="I30" i="1"/>
  <c r="I22" i="1"/>
  <c r="I38" i="1"/>
  <c r="I14" i="1"/>
  <c r="I23" i="1"/>
  <c r="I31" i="1"/>
  <c r="I39" i="1"/>
  <c r="I47" i="1"/>
  <c r="I46" i="1"/>
  <c r="L9" i="1"/>
  <c r="M9" i="1" s="1"/>
  <c r="I9" i="1"/>
  <c r="I27" i="1"/>
  <c r="I35" i="1"/>
  <c r="K18" i="1"/>
  <c r="K10" i="1"/>
  <c r="I18" i="1"/>
  <c r="I26" i="1"/>
  <c r="I34" i="1"/>
  <c r="I42" i="1"/>
  <c r="I50" i="1"/>
  <c r="I10" i="1"/>
  <c r="I43" i="1"/>
  <c r="L32" i="1"/>
  <c r="M32" i="1" s="1"/>
  <c r="L12" i="1"/>
  <c r="M12" i="1" s="1"/>
  <c r="L16" i="1"/>
  <c r="M16" i="1" s="1"/>
  <c r="L33" i="1"/>
  <c r="M33" i="1" s="1"/>
  <c r="L47" i="1"/>
  <c r="M47" i="1" s="1"/>
  <c r="L39" i="1"/>
  <c r="M39" i="1" s="1"/>
  <c r="L13" i="1"/>
  <c r="M13" i="1" s="1"/>
  <c r="L44" i="1"/>
  <c r="M44" i="1" s="1"/>
  <c r="L45" i="1"/>
  <c r="M45" i="1" s="1"/>
  <c r="K45" i="1"/>
  <c r="L22" i="1"/>
  <c r="M22" i="1" s="1"/>
  <c r="L14" i="1"/>
  <c r="M14" i="1" s="1"/>
  <c r="L36" i="1"/>
  <c r="M36" i="1" s="1"/>
  <c r="L28" i="1"/>
  <c r="M28" i="1" s="1"/>
  <c r="L20" i="1"/>
  <c r="M20" i="1" s="1"/>
  <c r="L43" i="1"/>
  <c r="M43" i="1" s="1"/>
  <c r="L35" i="1"/>
  <c r="M35" i="1" s="1"/>
  <c r="L19" i="1"/>
  <c r="M19" i="1" s="1"/>
  <c r="L50" i="1"/>
  <c r="M50" i="1" s="1"/>
  <c r="L42" i="1"/>
  <c r="M42" i="1" s="1"/>
  <c r="L34" i="1"/>
  <c r="M34" i="1" s="1"/>
  <c r="L26" i="1"/>
  <c r="M26" i="1" s="1"/>
  <c r="L11" i="1"/>
  <c r="M11" i="1" s="1"/>
  <c r="L38" i="1"/>
  <c r="M38" i="1" s="1"/>
  <c r="K38" i="1"/>
  <c r="K39" i="1"/>
  <c r="L29" i="1"/>
  <c r="M29" i="1" s="1"/>
  <c r="L21" i="1"/>
  <c r="M21" i="1" s="1"/>
  <c r="L31" i="1"/>
  <c r="M31" i="1" s="1"/>
  <c r="L25" i="1"/>
  <c r="M25" i="1" s="1"/>
  <c r="L49" i="1"/>
  <c r="M49" i="1" s="1"/>
  <c r="L17" i="1"/>
  <c r="M17" i="1" s="1"/>
  <c r="L24" i="1"/>
  <c r="M24" i="1" s="1"/>
  <c r="L15" i="1"/>
  <c r="M15" i="1" s="1"/>
  <c r="K32" i="1"/>
  <c r="L18" i="1"/>
  <c r="M18" i="1" s="1"/>
  <c r="K14" i="1"/>
  <c r="K44" i="1"/>
  <c r="K16" i="1"/>
  <c r="K13" i="1"/>
  <c r="L37" i="1"/>
  <c r="M37" i="1" s="1"/>
  <c r="K12" i="1"/>
  <c r="K50" i="1"/>
  <c r="K43" i="1"/>
  <c r="K36" i="1"/>
  <c r="K29" i="1"/>
  <c r="K22" i="1"/>
  <c r="K11" i="1"/>
  <c r="K49" i="1"/>
  <c r="K42" i="1"/>
  <c r="K35" i="1"/>
  <c r="K28" i="1"/>
  <c r="K21" i="1"/>
  <c r="L10" i="1"/>
  <c r="M10" i="1" s="1"/>
  <c r="K48" i="1"/>
  <c r="K34" i="1"/>
  <c r="L41" i="1"/>
  <c r="M41" i="1" s="1"/>
  <c r="L27" i="1"/>
  <c r="M27" i="1" s="1"/>
  <c r="K20" i="1"/>
  <c r="K9" i="1"/>
  <c r="K47" i="1"/>
  <c r="K40" i="1"/>
  <c r="K33" i="1"/>
  <c r="K26" i="1"/>
  <c r="K19" i="1"/>
  <c r="G2" i="1"/>
  <c r="G3" i="1"/>
  <c r="J3" i="1" s="1"/>
  <c r="G4" i="1"/>
  <c r="G5" i="1"/>
  <c r="G6" i="1"/>
  <c r="G7" i="1"/>
  <c r="J7" i="1" s="1"/>
  <c r="G8" i="1"/>
  <c r="E2" i="1"/>
  <c r="H2" i="1" s="1"/>
  <c r="E3" i="1"/>
  <c r="E4" i="1"/>
  <c r="E5" i="1"/>
  <c r="H5" i="1" s="1"/>
  <c r="E6" i="1"/>
  <c r="H6" i="1" s="1"/>
  <c r="E7" i="1"/>
  <c r="E8" i="1"/>
  <c r="H8" i="1" s="1"/>
  <c r="C2" i="1"/>
  <c r="L46" i="1" l="1"/>
  <c r="M46" i="1" s="1"/>
  <c r="N46" i="1" s="1"/>
  <c r="L30" i="1"/>
  <c r="M30" i="1" s="1"/>
  <c r="N30" i="1" s="1"/>
  <c r="J5" i="1"/>
  <c r="K5" i="1" s="1"/>
  <c r="J4" i="1"/>
  <c r="K4" i="1" s="1"/>
  <c r="K23" i="1"/>
  <c r="H4" i="1"/>
  <c r="J6" i="1"/>
  <c r="L6" i="1" s="1"/>
  <c r="M6" i="1" s="1"/>
  <c r="N6" i="1" s="1"/>
  <c r="H3" i="1"/>
  <c r="I3" i="1" s="1"/>
  <c r="J2" i="1"/>
  <c r="L2" i="1" s="1"/>
  <c r="M2" i="1" s="1"/>
  <c r="N2" i="1" s="1"/>
  <c r="H7" i="1"/>
  <c r="L7" i="1" s="1"/>
  <c r="M7" i="1" s="1"/>
  <c r="N7" i="1" s="1"/>
  <c r="J8" i="1"/>
  <c r="K8" i="1" s="1"/>
  <c r="N23" i="1"/>
  <c r="N19" i="1"/>
  <c r="N26" i="1"/>
  <c r="N33" i="1"/>
  <c r="N40" i="1"/>
  <c r="N47" i="1"/>
  <c r="N9" i="1"/>
  <c r="N20" i="1"/>
  <c r="N41" i="1"/>
  <c r="N27" i="1"/>
  <c r="N34" i="1"/>
  <c r="N48" i="1"/>
  <c r="N10" i="1"/>
  <c r="N21" i="1"/>
  <c r="N28" i="1"/>
  <c r="N35" i="1"/>
  <c r="N42" i="1"/>
  <c r="N49" i="1"/>
  <c r="N11" i="1"/>
  <c r="N16" i="1"/>
  <c r="N44" i="1"/>
  <c r="N14" i="1"/>
  <c r="N22" i="1"/>
  <c r="N29" i="1"/>
  <c r="N36" i="1"/>
  <c r="N43" i="1"/>
  <c r="N50" i="1"/>
  <c r="N12" i="1"/>
  <c r="N37" i="1"/>
  <c r="N13" i="1"/>
  <c r="N32" i="1"/>
  <c r="N15" i="1"/>
  <c r="N38" i="1"/>
  <c r="N39" i="1"/>
  <c r="N31" i="1"/>
  <c r="N17" i="1"/>
  <c r="N45" i="1"/>
  <c r="N25" i="1"/>
  <c r="N18" i="1"/>
  <c r="N24" i="1"/>
  <c r="L8" i="1"/>
  <c r="M8" i="1" s="1"/>
  <c r="N8" i="1" s="1"/>
  <c r="I8" i="1"/>
  <c r="I5" i="1"/>
  <c r="K7" i="1"/>
  <c r="I2" i="1"/>
  <c r="K3" i="1"/>
  <c r="I6" i="1"/>
  <c r="R13" i="1"/>
  <c r="R25" i="1"/>
  <c r="R41" i="1"/>
  <c r="R27" i="1"/>
  <c r="R26" i="1"/>
  <c r="R16" i="1"/>
  <c r="R33" i="1"/>
  <c r="R45" i="1"/>
  <c r="R44" i="1"/>
  <c r="R42" i="1"/>
  <c r="R49" i="1"/>
  <c r="R34" i="1"/>
  <c r="R10" i="1"/>
  <c r="R21" i="1"/>
  <c r="R31" i="1"/>
  <c r="R40" i="1"/>
  <c r="R20" i="1"/>
  <c r="R36" i="1"/>
  <c r="R43" i="1"/>
  <c r="R11" i="1"/>
  <c r="R50" i="1"/>
  <c r="R22" i="1"/>
  <c r="R7" i="1"/>
  <c r="R35" i="1"/>
  <c r="R15" i="1"/>
  <c r="R38" i="1"/>
  <c r="R2" i="1"/>
  <c r="R9" i="1"/>
  <c r="R29" i="1"/>
  <c r="R46" i="1"/>
  <c r="R24" i="1"/>
  <c r="R8" i="1"/>
  <c r="R17" i="1"/>
  <c r="R47" i="1"/>
  <c r="R28" i="1"/>
  <c r="R32" i="1"/>
  <c r="R12" i="1"/>
  <c r="R39" i="1"/>
  <c r="R6" i="1"/>
  <c r="R14" i="1"/>
  <c r="R30" i="1"/>
  <c r="R23" i="1"/>
  <c r="R19" i="1"/>
  <c r="R37" i="1"/>
  <c r="R48" i="1"/>
  <c r="R18" i="1"/>
  <c r="AA30" i="1" l="1"/>
  <c r="AA25" i="1"/>
  <c r="AA21" i="1"/>
  <c r="AA17" i="1"/>
  <c r="U17" i="1" s="1"/>
  <c r="T17" i="1"/>
  <c r="AA22" i="1"/>
  <c r="U22" i="1" s="1"/>
  <c r="AA9" i="1"/>
  <c r="AA45" i="1"/>
  <c r="T2" i="1"/>
  <c r="AA2" i="1"/>
  <c r="U2" i="1" s="1"/>
  <c r="T46" i="1"/>
  <c r="AA46" i="1"/>
  <c r="AA37" i="1"/>
  <c r="AA44" i="1"/>
  <c r="AA10" i="1"/>
  <c r="T10" i="1"/>
  <c r="T40" i="1"/>
  <c r="AA40" i="1"/>
  <c r="AA31" i="1"/>
  <c r="AA12" i="1"/>
  <c r="T16" i="1"/>
  <c r="AA16" i="1"/>
  <c r="U16" i="1" s="1"/>
  <c r="AA48" i="1"/>
  <c r="U48" i="1" s="1"/>
  <c r="AA33" i="1"/>
  <c r="AA6" i="1"/>
  <c r="T28" i="1"/>
  <c r="AA28" i="1"/>
  <c r="U28" i="1" s="1"/>
  <c r="AA14" i="1"/>
  <c r="AA39" i="1"/>
  <c r="AA26" i="1"/>
  <c r="AA7" i="1"/>
  <c r="U7" i="1" s="1"/>
  <c r="T7" i="1"/>
  <c r="AA13" i="1"/>
  <c r="U13" i="1" s="1"/>
  <c r="AA47" i="1"/>
  <c r="AA50" i="1"/>
  <c r="AA11" i="1"/>
  <c r="U11" i="1" s="1"/>
  <c r="T11" i="1"/>
  <c r="AA34" i="1"/>
  <c r="AA8" i="1"/>
  <c r="AA38" i="1"/>
  <c r="AA43" i="1"/>
  <c r="U43" i="1" s="1"/>
  <c r="T43" i="1"/>
  <c r="AA49" i="1"/>
  <c r="U49" i="1" s="1"/>
  <c r="AA27" i="1"/>
  <c r="AA19" i="1"/>
  <c r="U19" i="1" s="1"/>
  <c r="T19" i="1"/>
  <c r="AA24" i="1"/>
  <c r="U24" i="1" s="1"/>
  <c r="T24" i="1"/>
  <c r="AA15" i="1"/>
  <c r="U15" i="1" s="1"/>
  <c r="AA36" i="1"/>
  <c r="AA42" i="1"/>
  <c r="AA41" i="1"/>
  <c r="U41" i="1" s="1"/>
  <c r="AA23" i="1"/>
  <c r="U23" i="1" s="1"/>
  <c r="AA18" i="1"/>
  <c r="AA32" i="1"/>
  <c r="T32" i="1"/>
  <c r="AA29" i="1"/>
  <c r="U29" i="1" s="1"/>
  <c r="T29" i="1"/>
  <c r="AA35" i="1"/>
  <c r="AA20" i="1"/>
  <c r="U18" i="1"/>
  <c r="T18" i="1"/>
  <c r="T48" i="1"/>
  <c r="U37" i="1"/>
  <c r="T37" i="1"/>
  <c r="T23" i="1"/>
  <c r="T30" i="1"/>
  <c r="U30" i="1"/>
  <c r="U14" i="1"/>
  <c r="T14" i="1"/>
  <c r="T6" i="1"/>
  <c r="U6" i="1"/>
  <c r="U39" i="1"/>
  <c r="T39" i="1"/>
  <c r="U12" i="1"/>
  <c r="T12" i="1"/>
  <c r="U32" i="1"/>
  <c r="T47" i="1"/>
  <c r="U47" i="1"/>
  <c r="U8" i="1"/>
  <c r="T8" i="1"/>
  <c r="U46" i="1"/>
  <c r="U9" i="1"/>
  <c r="T9" i="1"/>
  <c r="T38" i="1"/>
  <c r="U38" i="1"/>
  <c r="T15" i="1"/>
  <c r="U35" i="1"/>
  <c r="T35" i="1"/>
  <c r="T22" i="1"/>
  <c r="U50" i="1"/>
  <c r="T50" i="1"/>
  <c r="U36" i="1"/>
  <c r="T36" i="1"/>
  <c r="T20" i="1"/>
  <c r="U20" i="1"/>
  <c r="U40" i="1"/>
  <c r="U31" i="1"/>
  <c r="T31" i="1"/>
  <c r="U21" i="1"/>
  <c r="T21" i="1"/>
  <c r="U10" i="1"/>
  <c r="U34" i="1"/>
  <c r="T34" i="1"/>
  <c r="T49" i="1"/>
  <c r="U42" i="1"/>
  <c r="T42" i="1"/>
  <c r="T44" i="1"/>
  <c r="U44" i="1"/>
  <c r="T45" i="1"/>
  <c r="U45" i="1"/>
  <c r="U33" i="1"/>
  <c r="T33" i="1"/>
  <c r="U26" i="1"/>
  <c r="T26" i="1"/>
  <c r="T27" i="1"/>
  <c r="U27" i="1"/>
  <c r="T41" i="1"/>
  <c r="U25" i="1"/>
  <c r="T25" i="1"/>
  <c r="T13" i="1"/>
  <c r="S18" i="1"/>
  <c r="S48" i="1"/>
  <c r="S37" i="1"/>
  <c r="S19" i="1"/>
  <c r="S23" i="1"/>
  <c r="S30" i="1"/>
  <c r="S14" i="1"/>
  <c r="S6" i="1"/>
  <c r="S39" i="1"/>
  <c r="S12" i="1"/>
  <c r="S32" i="1"/>
  <c r="S28" i="1"/>
  <c r="S47" i="1"/>
  <c r="S17" i="1"/>
  <c r="S8" i="1"/>
  <c r="S24" i="1"/>
  <c r="S46" i="1"/>
  <c r="S29" i="1"/>
  <c r="S9" i="1"/>
  <c r="S2" i="1"/>
  <c r="S38" i="1"/>
  <c r="S15" i="1"/>
  <c r="S35" i="1"/>
  <c r="S7" i="1"/>
  <c r="S22" i="1"/>
  <c r="S50" i="1"/>
  <c r="S11" i="1"/>
  <c r="S43" i="1"/>
  <c r="S36" i="1"/>
  <c r="S20" i="1"/>
  <c r="S40" i="1"/>
  <c r="S31" i="1"/>
  <c r="S21" i="1"/>
  <c r="S10" i="1"/>
  <c r="S34" i="1"/>
  <c r="S49" i="1"/>
  <c r="S42" i="1"/>
  <c r="S44" i="1"/>
  <c r="S45" i="1"/>
  <c r="S33" i="1"/>
  <c r="S16" i="1"/>
  <c r="S26" i="1"/>
  <c r="S27" i="1"/>
  <c r="S41" i="1"/>
  <c r="S25" i="1"/>
  <c r="S13" i="1"/>
  <c r="V10" i="1"/>
  <c r="W10" i="1"/>
  <c r="V16" i="1"/>
  <c r="W16" i="1"/>
  <c r="V48" i="1"/>
  <c r="W48" i="1"/>
  <c r="V33" i="1"/>
  <c r="W33" i="1"/>
  <c r="V6" i="1"/>
  <c r="W6" i="1"/>
  <c r="V8" i="1"/>
  <c r="W8" i="1"/>
  <c r="V50" i="1"/>
  <c r="W50" i="1"/>
  <c r="V11" i="1"/>
  <c r="W11" i="1"/>
  <c r="V34" i="1"/>
  <c r="W34" i="1"/>
  <c r="V26" i="1"/>
  <c r="W26" i="1"/>
  <c r="V37" i="1"/>
  <c r="W37" i="1"/>
  <c r="V31" i="1"/>
  <c r="W31" i="1"/>
  <c r="V39" i="1"/>
  <c r="W39" i="1"/>
  <c r="V24" i="1"/>
  <c r="W24" i="1"/>
  <c r="V38" i="1"/>
  <c r="W38" i="1"/>
  <c r="V43" i="1"/>
  <c r="W43" i="1"/>
  <c r="V49" i="1"/>
  <c r="W49" i="1"/>
  <c r="V27" i="1"/>
  <c r="W27" i="1"/>
  <c r="V19" i="1"/>
  <c r="W19" i="1"/>
  <c r="V17" i="1"/>
  <c r="W17" i="1"/>
  <c r="V12" i="1"/>
  <c r="W12" i="1"/>
  <c r="V46" i="1"/>
  <c r="W46" i="1"/>
  <c r="V15" i="1"/>
  <c r="W15" i="1"/>
  <c r="V36" i="1"/>
  <c r="W36" i="1"/>
  <c r="V42" i="1"/>
  <c r="W42" i="1"/>
  <c r="V41" i="1"/>
  <c r="W41" i="1"/>
  <c r="V23" i="1"/>
  <c r="W23" i="1"/>
  <c r="V18" i="1"/>
  <c r="W18" i="1"/>
  <c r="V32" i="1"/>
  <c r="W32" i="1"/>
  <c r="V29" i="1"/>
  <c r="W29" i="1"/>
  <c r="V35" i="1"/>
  <c r="W35" i="1"/>
  <c r="V20" i="1"/>
  <c r="W20" i="1"/>
  <c r="V44" i="1"/>
  <c r="W44" i="1"/>
  <c r="V25" i="1"/>
  <c r="W25" i="1"/>
  <c r="V30" i="1"/>
  <c r="W30" i="1"/>
  <c r="V22" i="1"/>
  <c r="W22" i="1"/>
  <c r="V28" i="1"/>
  <c r="W28" i="1"/>
  <c r="V9" i="1"/>
  <c r="W9" i="1"/>
  <c r="V7" i="1"/>
  <c r="W7" i="1"/>
  <c r="V40" i="1"/>
  <c r="W40" i="1"/>
  <c r="V45" i="1"/>
  <c r="W45" i="1"/>
  <c r="V13" i="1"/>
  <c r="W13" i="1"/>
  <c r="V14" i="1"/>
  <c r="W14" i="1"/>
  <c r="V21" i="1"/>
  <c r="W21" i="1"/>
  <c r="V47" i="1"/>
  <c r="W47" i="1"/>
  <c r="V2" i="1"/>
  <c r="W2" i="1"/>
  <c r="L4" i="1"/>
  <c r="M4" i="1" s="1"/>
  <c r="N4" i="1" s="1"/>
  <c r="L3" i="1"/>
  <c r="M3" i="1" s="1"/>
  <c r="N3" i="1" s="1"/>
  <c r="K6" i="1"/>
  <c r="K2" i="1"/>
  <c r="L5" i="1"/>
  <c r="M5" i="1" s="1"/>
  <c r="N5" i="1" s="1"/>
  <c r="I7" i="1"/>
  <c r="I4" i="1"/>
  <c r="P29" i="1"/>
  <c r="P35" i="1"/>
  <c r="P20" i="1"/>
  <c r="P18" i="1"/>
  <c r="P30" i="1"/>
  <c r="P22" i="1"/>
  <c r="P28" i="1"/>
  <c r="P9" i="1"/>
  <c r="P6" i="1"/>
  <c r="P45" i="1"/>
  <c r="P14" i="1"/>
  <c r="P21" i="1"/>
  <c r="P47" i="1"/>
  <c r="P17" i="1"/>
  <c r="P37" i="1"/>
  <c r="P44" i="1"/>
  <c r="P10" i="1"/>
  <c r="P40" i="1"/>
  <c r="P32" i="1"/>
  <c r="P13" i="1"/>
  <c r="P8" i="1"/>
  <c r="P31" i="1"/>
  <c r="P12" i="1"/>
  <c r="P16" i="1"/>
  <c r="P48" i="1"/>
  <c r="P33" i="1"/>
  <c r="P26" i="1"/>
  <c r="P39" i="1"/>
  <c r="P11" i="1"/>
  <c r="P24" i="1"/>
  <c r="P43" i="1"/>
  <c r="P49" i="1"/>
  <c r="P27" i="1"/>
  <c r="P19" i="1"/>
  <c r="P25" i="1"/>
  <c r="P50" i="1"/>
  <c r="P34" i="1"/>
  <c r="P38" i="1"/>
  <c r="P7" i="1"/>
  <c r="P46" i="1"/>
  <c r="P15" i="1"/>
  <c r="P36" i="1"/>
  <c r="P42" i="1"/>
  <c r="P41" i="1"/>
  <c r="P23" i="1"/>
  <c r="P2" i="1"/>
  <c r="R3" i="1"/>
  <c r="R5" i="1"/>
  <c r="R4" i="1"/>
  <c r="AA4" i="1" l="1"/>
  <c r="T5" i="1"/>
  <c r="AA5" i="1"/>
  <c r="U5" i="1" s="1"/>
  <c r="AA3" i="1"/>
  <c r="U3" i="1" s="1"/>
  <c r="T3" i="1"/>
  <c r="T4" i="1"/>
  <c r="U4" i="1"/>
  <c r="P3" i="1"/>
  <c r="P4" i="1"/>
  <c r="S4" i="1"/>
  <c r="S5" i="1"/>
  <c r="S3" i="1"/>
  <c r="V3" i="1"/>
  <c r="W3" i="1"/>
  <c r="V4" i="1"/>
  <c r="W4" i="1"/>
  <c r="V5" i="1"/>
  <c r="W5" i="1"/>
  <c r="P5" i="1"/>
</calcChain>
</file>

<file path=xl/sharedStrings.xml><?xml version="1.0" encoding="utf-8"?>
<sst xmlns="http://schemas.openxmlformats.org/spreadsheetml/2006/main" count="26" uniqueCount="26">
  <si>
    <t>Error</t>
  </si>
  <si>
    <t>Product FP</t>
  </si>
  <si>
    <t>Multiplier FP</t>
  </si>
  <si>
    <t>Multiplicand FP</t>
  </si>
  <si>
    <t>#Multiplicand Fractional Bits</t>
  </si>
  <si>
    <t>#Multiplier Fractional Bits</t>
  </si>
  <si>
    <t>Multiplicand Scale Factor</t>
  </si>
  <si>
    <t>Multiplier Scale Factor</t>
  </si>
  <si>
    <t>Multiplicand FXD_PT</t>
  </si>
  <si>
    <t>Multiplicand FXD_PT to FP</t>
  </si>
  <si>
    <t>Multiplier FXD_PT</t>
  </si>
  <si>
    <t>Multiplier FXD_PT to FP</t>
  </si>
  <si>
    <t>Product FXD_PT</t>
  </si>
  <si>
    <t>Product FXD_PT to FP</t>
  </si>
  <si>
    <t>Reward</t>
  </si>
  <si>
    <t>ErrorThresh</t>
  </si>
  <si>
    <t>Total Bits</t>
  </si>
  <si>
    <t>Distance</t>
  </si>
  <si>
    <t>RewardA</t>
  </si>
  <si>
    <t>RewardB</t>
  </si>
  <si>
    <t>RewardC</t>
  </si>
  <si>
    <t>RewardD</t>
  </si>
  <si>
    <t>RewardE</t>
  </si>
  <si>
    <t>gain factor</t>
  </si>
  <si>
    <t>Exp Gain</t>
  </si>
  <si>
    <t>exp gain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</si>
</sst>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6">
    <xf numFmtId="0" fontId="0" fillId="0" borderId="0" xfId="0"/>
    <xf numFmtId="0" fontId="0" fillId="0" borderId="0" xfId="0" applyNumberFormat="1"/>
    <xf numFmtId="0" fontId="2" fillId="2" borderId="1" xfId="1" applyFont="1" applyAlignment="1">
      <alignment horizontal="right"/>
    </xf>
    <xf numFmtId="0" fontId="2" fillId="2" borderId="2" xfId="1" applyFont="1" applyBorder="1" applyAlignment="1">
      <alignment horizontal="right"/>
    </xf>
    <xf numFmtId="0" fontId="0" fillId="0" borderId="0" xfId="0" applyNumberFormat="1" applyFont="1"/>
    <xf numFmtId="0" fontId="2" fillId="2" borderId="3" xfId="1" applyFont="1" applyBorder="1" applyAlignment="1">
      <alignment horizontal="right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reward = reward * sin(1 / D ^ 0.5)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Sheet1!$U$2:$U$50</c:f>
              <c:numCache>
                <c:formatCode>General</c:formatCode>
                <c:ptCount val="49"/>
                <c:pt idx="0">
                  <c:v>6.1022674623442658E-2</c:v>
                </c:pt>
                <c:pt idx="1">
                  <c:v>6.5090852931672161E-2</c:v>
                </c:pt>
                <c:pt idx="2">
                  <c:v>6.9740199569648748E-2</c:v>
                </c:pt>
                <c:pt idx="3">
                  <c:v>7.5104830305775569E-2</c:v>
                </c:pt>
                <c:pt idx="4">
                  <c:v>8.1363566164590201E-2</c:v>
                </c:pt>
                <c:pt idx="5">
                  <c:v>8.8760253997734767E-2</c:v>
                </c:pt>
                <c:pt idx="6">
                  <c:v>0</c:v>
                </c:pt>
                <c:pt idx="7">
                  <c:v>6.5090852931672161E-2</c:v>
                </c:pt>
                <c:pt idx="8">
                  <c:v>6.9740199569648748E-2</c:v>
                </c:pt>
                <c:pt idx="9">
                  <c:v>7.5104830305775569E-2</c:v>
                </c:pt>
                <c:pt idx="10">
                  <c:v>8.1363566164590201E-2</c:v>
                </c:pt>
                <c:pt idx="11">
                  <c:v>8.8760253997734767E-2</c:v>
                </c:pt>
                <c:pt idx="12">
                  <c:v>9.7636279397508241E-2</c:v>
                </c:pt>
                <c:pt idx="13">
                  <c:v>0</c:v>
                </c:pt>
                <c:pt idx="14">
                  <c:v>6.187759499922825E-2</c:v>
                </c:pt>
                <c:pt idx="15">
                  <c:v>6.6637409999168881E-2</c:v>
                </c:pt>
                <c:pt idx="16">
                  <c:v>7.2190527499099627E-2</c:v>
                </c:pt>
                <c:pt idx="17">
                  <c:v>7.8753302726290497E-2</c:v>
                </c:pt>
                <c:pt idx="18">
                  <c:v>8.6628632998919541E-2</c:v>
                </c:pt>
                <c:pt idx="19">
                  <c:v>9.6254036665466156E-2</c:v>
                </c:pt>
                <c:pt idx="20">
                  <c:v>0</c:v>
                </c:pt>
                <c:pt idx="21">
                  <c:v>5.245524863253808E-2</c:v>
                </c:pt>
                <c:pt idx="22">
                  <c:v>5.6826519351916259E-2</c:v>
                </c:pt>
                <c:pt idx="23">
                  <c:v>6.1992566565726825E-2</c:v>
                </c:pt>
                <c:pt idx="24">
                  <c:v>6.8191823222299511E-2</c:v>
                </c:pt>
                <c:pt idx="25">
                  <c:v>7.5768692469221674E-2</c:v>
                </c:pt>
                <c:pt idx="26">
                  <c:v>8.5239779027874385E-2</c:v>
                </c:pt>
                <c:pt idx="27">
                  <c:v>0</c:v>
                </c:pt>
                <c:pt idx="28">
                  <c:v>5.6826519351916259E-2</c:v>
                </c:pt>
                <c:pt idx="29">
                  <c:v>6.1992566565726825E-2</c:v>
                </c:pt>
                <c:pt idx="30">
                  <c:v>6.8191823222299511E-2</c:v>
                </c:pt>
                <c:pt idx="31">
                  <c:v>7.5768692469221674E-2</c:v>
                </c:pt>
                <c:pt idx="32">
                  <c:v>8.5239779027874385E-2</c:v>
                </c:pt>
                <c:pt idx="33">
                  <c:v>9.7416890317570726E-2</c:v>
                </c:pt>
                <c:pt idx="34">
                  <c:v>0</c:v>
                </c:pt>
                <c:pt idx="35">
                  <c:v>6.1992566565726825E-2</c:v>
                </c:pt>
                <c:pt idx="36">
                  <c:v>6.8191823222299511E-2</c:v>
                </c:pt>
                <c:pt idx="37">
                  <c:v>7.5768692469221674E-2</c:v>
                </c:pt>
                <c:pt idx="38">
                  <c:v>8.5239779027874385E-2</c:v>
                </c:pt>
                <c:pt idx="39">
                  <c:v>9.7416890317570726E-2</c:v>
                </c:pt>
                <c:pt idx="40">
                  <c:v>0.11365303870383252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225-43E8-BF28-FB9860B3F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526656"/>
        <c:axId val="227523936"/>
      </c:lineChart>
      <c:catAx>
        <c:axId val="2275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523936"/>
        <c:crosses val="autoZero"/>
        <c:auto val="1"/>
        <c:lblAlgn val="ctr"/>
        <c:lblOffset val="100"/>
        <c:noMultiLvlLbl val="0"/>
      </c:catAx>
      <c:valAx>
        <c:axId val="2275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752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Sheet1!$Z$3:$Z$50</c:f>
              <c:numCache>
                <c:formatCode>General</c:formatCode>
                <c:ptCount val="48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502-46F8-9071-05BC3ACD9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754352"/>
        <c:axId val="448608544"/>
      </c:lineChart>
      <c:catAx>
        <c:axId val="22875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08544"/>
        <c:crosses val="autoZero"/>
        <c:auto val="1"/>
        <c:lblAlgn val="ctr"/>
        <c:lblOffset val="100"/>
        <c:noMultiLvlLbl val="0"/>
      </c:catAx>
      <c:valAx>
        <c:axId val="4486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75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Error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Sheet1!$N$2:$N$50</c:f>
              <c:numCache>
                <c:formatCode>General</c:formatCode>
                <c:ptCount val="49"/>
                <c:pt idx="0">
                  <c:v>9.4696969696962902E-4</c:v>
                </c:pt>
                <c:pt idx="1">
                  <c:v>9.4696969696962902E-4</c:v>
                </c:pt>
                <c:pt idx="2">
                  <c:v>9.4696969696962902E-4</c:v>
                </c:pt>
                <c:pt idx="3">
                  <c:v>9.4696969696962902E-4</c:v>
                </c:pt>
                <c:pt idx="4">
                  <c:v>9.4696969696962902E-4</c:v>
                </c:pt>
                <c:pt idx="5">
                  <c:v>9.4696969696962902E-4</c:v>
                </c:pt>
                <c:pt idx="6">
                  <c:v>5.3528708133971224E-2</c:v>
                </c:pt>
                <c:pt idx="7">
                  <c:v>9.4696969696962902E-4</c:v>
                </c:pt>
                <c:pt idx="8">
                  <c:v>9.4696969696962902E-4</c:v>
                </c:pt>
                <c:pt idx="9">
                  <c:v>9.4696969696962902E-4</c:v>
                </c:pt>
                <c:pt idx="10">
                  <c:v>9.4696969696962902E-4</c:v>
                </c:pt>
                <c:pt idx="11">
                  <c:v>9.4696969696962902E-4</c:v>
                </c:pt>
                <c:pt idx="12">
                  <c:v>9.4696969696962902E-4</c:v>
                </c:pt>
                <c:pt idx="13">
                  <c:v>5.3528708133971224E-2</c:v>
                </c:pt>
                <c:pt idx="14">
                  <c:v>5.6818181818181143E-3</c:v>
                </c:pt>
                <c:pt idx="15">
                  <c:v>5.6818181818181143E-3</c:v>
                </c:pt>
                <c:pt idx="16">
                  <c:v>5.6818181818181143E-3</c:v>
                </c:pt>
                <c:pt idx="17">
                  <c:v>5.6818181818181143E-3</c:v>
                </c:pt>
                <c:pt idx="18">
                  <c:v>5.6818181818181143E-3</c:v>
                </c:pt>
                <c:pt idx="19">
                  <c:v>5.6818181818181143E-3</c:v>
                </c:pt>
                <c:pt idx="20">
                  <c:v>5.8014354066985581E-2</c:v>
                </c:pt>
                <c:pt idx="21">
                  <c:v>1.5151515151515084E-2</c:v>
                </c:pt>
                <c:pt idx="22">
                  <c:v>1.5151515151515084E-2</c:v>
                </c:pt>
                <c:pt idx="23">
                  <c:v>1.5151515151515084E-2</c:v>
                </c:pt>
                <c:pt idx="24">
                  <c:v>1.5151515151515084E-2</c:v>
                </c:pt>
                <c:pt idx="25">
                  <c:v>1.5151515151515084E-2</c:v>
                </c:pt>
                <c:pt idx="26">
                  <c:v>1.5151515151515084E-2</c:v>
                </c:pt>
                <c:pt idx="27">
                  <c:v>6.6985645933014287E-2</c:v>
                </c:pt>
                <c:pt idx="28">
                  <c:v>1.5151515151515084E-2</c:v>
                </c:pt>
                <c:pt idx="29">
                  <c:v>1.5151515151515084E-2</c:v>
                </c:pt>
                <c:pt idx="30">
                  <c:v>1.5151515151515084E-2</c:v>
                </c:pt>
                <c:pt idx="31">
                  <c:v>1.5151515151515084E-2</c:v>
                </c:pt>
                <c:pt idx="32">
                  <c:v>1.5151515151515084E-2</c:v>
                </c:pt>
                <c:pt idx="33">
                  <c:v>1.5151515151515084E-2</c:v>
                </c:pt>
                <c:pt idx="34">
                  <c:v>6.6985645933014287E-2</c:v>
                </c:pt>
                <c:pt idx="35">
                  <c:v>1.5151515151515084E-2</c:v>
                </c:pt>
                <c:pt idx="36">
                  <c:v>1.5151515151515084E-2</c:v>
                </c:pt>
                <c:pt idx="37">
                  <c:v>1.5151515151515084E-2</c:v>
                </c:pt>
                <c:pt idx="38">
                  <c:v>1.5151515151515084E-2</c:v>
                </c:pt>
                <c:pt idx="39">
                  <c:v>1.5151515151515084E-2</c:v>
                </c:pt>
                <c:pt idx="40">
                  <c:v>1.5151515151515084E-2</c:v>
                </c:pt>
                <c:pt idx="41">
                  <c:v>6.6985645933014287E-2</c:v>
                </c:pt>
                <c:pt idx="42">
                  <c:v>9.0909090909090842E-2</c:v>
                </c:pt>
                <c:pt idx="43">
                  <c:v>9.0909090909090842E-2</c:v>
                </c:pt>
                <c:pt idx="44">
                  <c:v>9.0909090909090842E-2</c:v>
                </c:pt>
                <c:pt idx="45">
                  <c:v>9.0909090909090842E-2</c:v>
                </c:pt>
                <c:pt idx="46">
                  <c:v>9.0909090909090842E-2</c:v>
                </c:pt>
                <c:pt idx="47">
                  <c:v>9.0909090909090842E-2</c:v>
                </c:pt>
                <c:pt idx="48">
                  <c:v>0.13875598086124397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1F-4155-BE94-51D408771F8E}"/>
            </c:ext>
          </c:extLst>
        </c:ser>
        <c:ser>
          <c:idx val="3"/>
          <c:order val="3"/>
          <c:tx>
            <c:v>rewardC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Sheet1!$U$2:$U$50</c:f>
              <c:numCache>
                <c:formatCode>General</c:formatCode>
                <c:ptCount val="49"/>
                <c:pt idx="0">
                  <c:v>6.1022674623442658E-2</c:v>
                </c:pt>
                <c:pt idx="1">
                  <c:v>6.5090852931672161E-2</c:v>
                </c:pt>
                <c:pt idx="2">
                  <c:v>6.9740199569648748E-2</c:v>
                </c:pt>
                <c:pt idx="3">
                  <c:v>7.5104830305775569E-2</c:v>
                </c:pt>
                <c:pt idx="4">
                  <c:v>8.1363566164590201E-2</c:v>
                </c:pt>
                <c:pt idx="5">
                  <c:v>8.8760253997734767E-2</c:v>
                </c:pt>
                <c:pt idx="6">
                  <c:v>0</c:v>
                </c:pt>
                <c:pt idx="7">
                  <c:v>6.5090852931672161E-2</c:v>
                </c:pt>
                <c:pt idx="8">
                  <c:v>6.9740199569648748E-2</c:v>
                </c:pt>
                <c:pt idx="9">
                  <c:v>7.5104830305775569E-2</c:v>
                </c:pt>
                <c:pt idx="10">
                  <c:v>8.1363566164590201E-2</c:v>
                </c:pt>
                <c:pt idx="11">
                  <c:v>8.8760253997734767E-2</c:v>
                </c:pt>
                <c:pt idx="12">
                  <c:v>9.7636279397508241E-2</c:v>
                </c:pt>
                <c:pt idx="13">
                  <c:v>0</c:v>
                </c:pt>
                <c:pt idx="14">
                  <c:v>6.187759499922825E-2</c:v>
                </c:pt>
                <c:pt idx="15">
                  <c:v>6.6637409999168881E-2</c:v>
                </c:pt>
                <c:pt idx="16">
                  <c:v>7.2190527499099627E-2</c:v>
                </c:pt>
                <c:pt idx="17">
                  <c:v>7.8753302726290497E-2</c:v>
                </c:pt>
                <c:pt idx="18">
                  <c:v>8.6628632998919541E-2</c:v>
                </c:pt>
                <c:pt idx="19">
                  <c:v>9.6254036665466156E-2</c:v>
                </c:pt>
                <c:pt idx="20">
                  <c:v>0</c:v>
                </c:pt>
                <c:pt idx="21">
                  <c:v>5.245524863253808E-2</c:v>
                </c:pt>
                <c:pt idx="22">
                  <c:v>5.6826519351916259E-2</c:v>
                </c:pt>
                <c:pt idx="23">
                  <c:v>6.1992566565726825E-2</c:v>
                </c:pt>
                <c:pt idx="24">
                  <c:v>6.8191823222299511E-2</c:v>
                </c:pt>
                <c:pt idx="25">
                  <c:v>7.5768692469221674E-2</c:v>
                </c:pt>
                <c:pt idx="26">
                  <c:v>8.5239779027874385E-2</c:v>
                </c:pt>
                <c:pt idx="27">
                  <c:v>0</c:v>
                </c:pt>
                <c:pt idx="28">
                  <c:v>5.6826519351916259E-2</c:v>
                </c:pt>
                <c:pt idx="29">
                  <c:v>6.1992566565726825E-2</c:v>
                </c:pt>
                <c:pt idx="30">
                  <c:v>6.8191823222299511E-2</c:v>
                </c:pt>
                <c:pt idx="31">
                  <c:v>7.5768692469221674E-2</c:v>
                </c:pt>
                <c:pt idx="32">
                  <c:v>8.5239779027874385E-2</c:v>
                </c:pt>
                <c:pt idx="33">
                  <c:v>9.7416890317570726E-2</c:v>
                </c:pt>
                <c:pt idx="34">
                  <c:v>0</c:v>
                </c:pt>
                <c:pt idx="35">
                  <c:v>6.1992566565726825E-2</c:v>
                </c:pt>
                <c:pt idx="36">
                  <c:v>6.8191823222299511E-2</c:v>
                </c:pt>
                <c:pt idx="37">
                  <c:v>7.5768692469221674E-2</c:v>
                </c:pt>
                <c:pt idx="38">
                  <c:v>8.5239779027874385E-2</c:v>
                </c:pt>
                <c:pt idx="39">
                  <c:v>9.7416890317570726E-2</c:v>
                </c:pt>
                <c:pt idx="40">
                  <c:v>0.11365303870383252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11F-4155-BE94-51D408771F8E}"/>
            </c:ext>
          </c:extLst>
        </c:ser>
        <c:ser>
          <c:idx val="4"/>
          <c:order val="4"/>
          <c:tx>
            <c:v>exp_gain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Sheet1!$AA$2:$AA$50</c:f>
              <c:numCache>
                <c:formatCode>General</c:formatCode>
                <c:ptCount val="49"/>
                <c:pt idx="0">
                  <c:v>0.97728825633903982</c:v>
                </c:pt>
                <c:pt idx="1">
                  <c:v>0.97728825633903982</c:v>
                </c:pt>
                <c:pt idx="2">
                  <c:v>0.97728825633903982</c:v>
                </c:pt>
                <c:pt idx="3">
                  <c:v>0.97728825633903982</c:v>
                </c:pt>
                <c:pt idx="4">
                  <c:v>0.97728825633903982</c:v>
                </c:pt>
                <c:pt idx="5">
                  <c:v>0.97728825633903982</c:v>
                </c:pt>
                <c:pt idx="6">
                  <c:v>0.27290963135541707</c:v>
                </c:pt>
                <c:pt idx="7">
                  <c:v>0.97728825633903982</c:v>
                </c:pt>
                <c:pt idx="8">
                  <c:v>0.97728825633903982</c:v>
                </c:pt>
                <c:pt idx="9">
                  <c:v>0.97728825633903982</c:v>
                </c:pt>
                <c:pt idx="10">
                  <c:v>0.97728825633903982</c:v>
                </c:pt>
                <c:pt idx="11">
                  <c:v>0.97728825633903982</c:v>
                </c:pt>
                <c:pt idx="12">
                  <c:v>0.97728825633903982</c:v>
                </c:pt>
                <c:pt idx="13">
                  <c:v>0.27290963135541707</c:v>
                </c:pt>
                <c:pt idx="14">
                  <c:v>0.87123653758913366</c:v>
                </c:pt>
                <c:pt idx="15">
                  <c:v>0.87123653758913366</c:v>
                </c:pt>
                <c:pt idx="16">
                  <c:v>0.87123653758913366</c:v>
                </c:pt>
                <c:pt idx="17">
                  <c:v>0.87123653758913366</c:v>
                </c:pt>
                <c:pt idx="18">
                  <c:v>0.87123653758913366</c:v>
                </c:pt>
                <c:pt idx="19">
                  <c:v>0.87123653758913366</c:v>
                </c:pt>
                <c:pt idx="20">
                  <c:v>0.24476982290884858</c:v>
                </c:pt>
                <c:pt idx="21">
                  <c:v>0.69240928194950269</c:v>
                </c:pt>
                <c:pt idx="22">
                  <c:v>0.69240928194950269</c:v>
                </c:pt>
                <c:pt idx="23">
                  <c:v>0.69240928194950269</c:v>
                </c:pt>
                <c:pt idx="24">
                  <c:v>0.69240928194950269</c:v>
                </c:pt>
                <c:pt idx="25">
                  <c:v>0.69240928194950269</c:v>
                </c:pt>
                <c:pt idx="26">
                  <c:v>0.69240928194950269</c:v>
                </c:pt>
                <c:pt idx="27">
                  <c:v>0.19689554750360552</c:v>
                </c:pt>
                <c:pt idx="28">
                  <c:v>0.69240928194950269</c:v>
                </c:pt>
                <c:pt idx="29">
                  <c:v>0.69240928194950269</c:v>
                </c:pt>
                <c:pt idx="30">
                  <c:v>0.69240928194950269</c:v>
                </c:pt>
                <c:pt idx="31">
                  <c:v>0.69240928194950269</c:v>
                </c:pt>
                <c:pt idx="32">
                  <c:v>0.69240928194950269</c:v>
                </c:pt>
                <c:pt idx="33">
                  <c:v>0.69240928194950269</c:v>
                </c:pt>
                <c:pt idx="34">
                  <c:v>0.19689554750360552</c:v>
                </c:pt>
                <c:pt idx="35">
                  <c:v>0.69240928194950269</c:v>
                </c:pt>
                <c:pt idx="36">
                  <c:v>0.69240928194950269</c:v>
                </c:pt>
                <c:pt idx="37">
                  <c:v>0.69240928194950269</c:v>
                </c:pt>
                <c:pt idx="38">
                  <c:v>0.69240928194950269</c:v>
                </c:pt>
                <c:pt idx="39">
                  <c:v>0.69240928194950269</c:v>
                </c:pt>
                <c:pt idx="40">
                  <c:v>0.69240928194950269</c:v>
                </c:pt>
                <c:pt idx="41">
                  <c:v>0.19689554750360552</c:v>
                </c:pt>
                <c:pt idx="42">
                  <c:v>0.11019890687450283</c:v>
                </c:pt>
                <c:pt idx="43">
                  <c:v>0.11019890687450283</c:v>
                </c:pt>
                <c:pt idx="44">
                  <c:v>0.11019890687450283</c:v>
                </c:pt>
                <c:pt idx="45">
                  <c:v>0.11019890687450283</c:v>
                </c:pt>
                <c:pt idx="46">
                  <c:v>0.11019890687450283</c:v>
                </c:pt>
                <c:pt idx="47">
                  <c:v>0.11019890687450283</c:v>
                </c:pt>
                <c:pt idx="48">
                  <c:v>3.4519148076722725E-2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11F-4155-BE94-51D408771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606912"/>
        <c:axId val="44861017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Gain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Sheet1!$Z$2:$Z$50</c15:sqref>
                        </c15:formulaRef>
                      </c:ext>
                    </c:extLst>
                    <c:numCache>
                      <c:formatCode>General</c:formatCode>
                      <c:ptCount val="49"/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C11F-4155-BE94-51D408771F8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rewardB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Sheet1!$T$2:$T$50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C11F-4155-BE94-51D408771F8E}"/>
                  </c:ext>
                </c:extLst>
              </c15:ser>
            </c15:filteredLineSeries>
          </c:ext>
        </c:extLst>
      </c:lineChart>
      <c:catAx>
        <c:axId val="44860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10176"/>
        <c:crosses val="autoZero"/>
        <c:auto val="1"/>
        <c:lblAlgn val="ctr"/>
        <c:lblOffset val="100"/>
        <c:noMultiLvlLbl val="0"/>
      </c:catAx>
      <c:valAx>
        <c:axId val="44861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Error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Sheet1!$N$2:$N$50</c:f>
              <c:numCache>
                <c:formatCode>General</c:formatCode>
                <c:ptCount val="49"/>
                <c:pt idx="0">
                  <c:v>9.4696969696962902E-4</c:v>
                </c:pt>
                <c:pt idx="1">
                  <c:v>9.4696969696962902E-4</c:v>
                </c:pt>
                <c:pt idx="2">
                  <c:v>9.4696969696962902E-4</c:v>
                </c:pt>
                <c:pt idx="3">
                  <c:v>9.4696969696962902E-4</c:v>
                </c:pt>
                <c:pt idx="4">
                  <c:v>9.4696969696962902E-4</c:v>
                </c:pt>
                <c:pt idx="5">
                  <c:v>9.4696969696962902E-4</c:v>
                </c:pt>
                <c:pt idx="6">
                  <c:v>5.3528708133971224E-2</c:v>
                </c:pt>
                <c:pt idx="7">
                  <c:v>9.4696969696962902E-4</c:v>
                </c:pt>
                <c:pt idx="8">
                  <c:v>9.4696969696962902E-4</c:v>
                </c:pt>
                <c:pt idx="9">
                  <c:v>9.4696969696962902E-4</c:v>
                </c:pt>
                <c:pt idx="10">
                  <c:v>9.4696969696962902E-4</c:v>
                </c:pt>
                <c:pt idx="11">
                  <c:v>9.4696969696962902E-4</c:v>
                </c:pt>
                <c:pt idx="12">
                  <c:v>9.4696969696962902E-4</c:v>
                </c:pt>
                <c:pt idx="13">
                  <c:v>5.3528708133971224E-2</c:v>
                </c:pt>
                <c:pt idx="14">
                  <c:v>5.6818181818181143E-3</c:v>
                </c:pt>
                <c:pt idx="15">
                  <c:v>5.6818181818181143E-3</c:v>
                </c:pt>
                <c:pt idx="16">
                  <c:v>5.6818181818181143E-3</c:v>
                </c:pt>
                <c:pt idx="17">
                  <c:v>5.6818181818181143E-3</c:v>
                </c:pt>
                <c:pt idx="18">
                  <c:v>5.6818181818181143E-3</c:v>
                </c:pt>
                <c:pt idx="19">
                  <c:v>5.6818181818181143E-3</c:v>
                </c:pt>
                <c:pt idx="20">
                  <c:v>5.8014354066985581E-2</c:v>
                </c:pt>
                <c:pt idx="21">
                  <c:v>1.5151515151515084E-2</c:v>
                </c:pt>
                <c:pt idx="22">
                  <c:v>1.5151515151515084E-2</c:v>
                </c:pt>
                <c:pt idx="23">
                  <c:v>1.5151515151515084E-2</c:v>
                </c:pt>
                <c:pt idx="24">
                  <c:v>1.5151515151515084E-2</c:v>
                </c:pt>
                <c:pt idx="25">
                  <c:v>1.5151515151515084E-2</c:v>
                </c:pt>
                <c:pt idx="26">
                  <c:v>1.5151515151515084E-2</c:v>
                </c:pt>
                <c:pt idx="27">
                  <c:v>6.6985645933014287E-2</c:v>
                </c:pt>
                <c:pt idx="28">
                  <c:v>1.5151515151515084E-2</c:v>
                </c:pt>
                <c:pt idx="29">
                  <c:v>1.5151515151515084E-2</c:v>
                </c:pt>
                <c:pt idx="30">
                  <c:v>1.5151515151515084E-2</c:v>
                </c:pt>
                <c:pt idx="31">
                  <c:v>1.5151515151515084E-2</c:v>
                </c:pt>
                <c:pt idx="32">
                  <c:v>1.5151515151515084E-2</c:v>
                </c:pt>
                <c:pt idx="33">
                  <c:v>1.5151515151515084E-2</c:v>
                </c:pt>
                <c:pt idx="34">
                  <c:v>6.6985645933014287E-2</c:v>
                </c:pt>
                <c:pt idx="35">
                  <c:v>1.5151515151515084E-2</c:v>
                </c:pt>
                <c:pt idx="36">
                  <c:v>1.5151515151515084E-2</c:v>
                </c:pt>
                <c:pt idx="37">
                  <c:v>1.5151515151515084E-2</c:v>
                </c:pt>
                <c:pt idx="38">
                  <c:v>1.5151515151515084E-2</c:v>
                </c:pt>
                <c:pt idx="39">
                  <c:v>1.5151515151515084E-2</c:v>
                </c:pt>
                <c:pt idx="40">
                  <c:v>1.5151515151515084E-2</c:v>
                </c:pt>
                <c:pt idx="41">
                  <c:v>6.6985645933014287E-2</c:v>
                </c:pt>
                <c:pt idx="42">
                  <c:v>9.0909090909090842E-2</c:v>
                </c:pt>
                <c:pt idx="43">
                  <c:v>9.0909090909090842E-2</c:v>
                </c:pt>
                <c:pt idx="44">
                  <c:v>9.0909090909090842E-2</c:v>
                </c:pt>
                <c:pt idx="45">
                  <c:v>9.0909090909090842E-2</c:v>
                </c:pt>
                <c:pt idx="46">
                  <c:v>9.0909090909090842E-2</c:v>
                </c:pt>
                <c:pt idx="47">
                  <c:v>9.0909090909090842E-2</c:v>
                </c:pt>
                <c:pt idx="48">
                  <c:v>0.13875598086124397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1F-4155-BE94-51D408771F8E}"/>
            </c:ext>
          </c:extLst>
        </c:ser>
        <c:ser>
          <c:idx val="3"/>
          <c:order val="3"/>
          <c:tx>
            <c:v>rewardC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Sheet1!$U$2:$U$50</c:f>
              <c:numCache>
                <c:formatCode>General</c:formatCode>
                <c:ptCount val="49"/>
                <c:pt idx="0">
                  <c:v>6.1022674623442658E-2</c:v>
                </c:pt>
                <c:pt idx="1">
                  <c:v>6.5090852931672161E-2</c:v>
                </c:pt>
                <c:pt idx="2">
                  <c:v>6.9740199569648748E-2</c:v>
                </c:pt>
                <c:pt idx="3">
                  <c:v>7.5104830305775569E-2</c:v>
                </c:pt>
                <c:pt idx="4">
                  <c:v>8.1363566164590201E-2</c:v>
                </c:pt>
                <c:pt idx="5">
                  <c:v>8.8760253997734767E-2</c:v>
                </c:pt>
                <c:pt idx="6">
                  <c:v>0</c:v>
                </c:pt>
                <c:pt idx="7">
                  <c:v>6.5090852931672161E-2</c:v>
                </c:pt>
                <c:pt idx="8">
                  <c:v>6.9740199569648748E-2</c:v>
                </c:pt>
                <c:pt idx="9">
                  <c:v>7.5104830305775569E-2</c:v>
                </c:pt>
                <c:pt idx="10">
                  <c:v>8.1363566164590201E-2</c:v>
                </c:pt>
                <c:pt idx="11">
                  <c:v>8.8760253997734767E-2</c:v>
                </c:pt>
                <c:pt idx="12">
                  <c:v>9.7636279397508241E-2</c:v>
                </c:pt>
                <c:pt idx="13">
                  <c:v>0</c:v>
                </c:pt>
                <c:pt idx="14">
                  <c:v>6.187759499922825E-2</c:v>
                </c:pt>
                <c:pt idx="15">
                  <c:v>6.6637409999168881E-2</c:v>
                </c:pt>
                <c:pt idx="16">
                  <c:v>7.2190527499099627E-2</c:v>
                </c:pt>
                <c:pt idx="17">
                  <c:v>7.8753302726290497E-2</c:v>
                </c:pt>
                <c:pt idx="18">
                  <c:v>8.6628632998919541E-2</c:v>
                </c:pt>
                <c:pt idx="19">
                  <c:v>9.6254036665466156E-2</c:v>
                </c:pt>
                <c:pt idx="20">
                  <c:v>0</c:v>
                </c:pt>
                <c:pt idx="21">
                  <c:v>5.245524863253808E-2</c:v>
                </c:pt>
                <c:pt idx="22">
                  <c:v>5.6826519351916259E-2</c:v>
                </c:pt>
                <c:pt idx="23">
                  <c:v>6.1992566565726825E-2</c:v>
                </c:pt>
                <c:pt idx="24">
                  <c:v>6.8191823222299511E-2</c:v>
                </c:pt>
                <c:pt idx="25">
                  <c:v>7.5768692469221674E-2</c:v>
                </c:pt>
                <c:pt idx="26">
                  <c:v>8.5239779027874385E-2</c:v>
                </c:pt>
                <c:pt idx="27">
                  <c:v>0</c:v>
                </c:pt>
                <c:pt idx="28">
                  <c:v>5.6826519351916259E-2</c:v>
                </c:pt>
                <c:pt idx="29">
                  <c:v>6.1992566565726825E-2</c:v>
                </c:pt>
                <c:pt idx="30">
                  <c:v>6.8191823222299511E-2</c:v>
                </c:pt>
                <c:pt idx="31">
                  <c:v>7.5768692469221674E-2</c:v>
                </c:pt>
                <c:pt idx="32">
                  <c:v>8.5239779027874385E-2</c:v>
                </c:pt>
                <c:pt idx="33">
                  <c:v>9.7416890317570726E-2</c:v>
                </c:pt>
                <c:pt idx="34">
                  <c:v>0</c:v>
                </c:pt>
                <c:pt idx="35">
                  <c:v>6.1992566565726825E-2</c:v>
                </c:pt>
                <c:pt idx="36">
                  <c:v>6.8191823222299511E-2</c:v>
                </c:pt>
                <c:pt idx="37">
                  <c:v>7.5768692469221674E-2</c:v>
                </c:pt>
                <c:pt idx="38">
                  <c:v>8.5239779027874385E-2</c:v>
                </c:pt>
                <c:pt idx="39">
                  <c:v>9.7416890317570726E-2</c:v>
                </c:pt>
                <c:pt idx="40">
                  <c:v>0.11365303870383252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11F-4155-BE94-51D408771F8E}"/>
            </c:ext>
          </c:extLst>
        </c:ser>
        <c:ser>
          <c:idx val="4"/>
          <c:order val="4"/>
          <c:tx>
            <c:v>exp_gain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Sheet1!$AA$2:$AA$50</c:f>
              <c:numCache>
                <c:formatCode>General</c:formatCode>
                <c:ptCount val="49"/>
                <c:pt idx="0">
                  <c:v>0.97728825633903982</c:v>
                </c:pt>
                <c:pt idx="1">
                  <c:v>0.97728825633903982</c:v>
                </c:pt>
                <c:pt idx="2">
                  <c:v>0.97728825633903982</c:v>
                </c:pt>
                <c:pt idx="3">
                  <c:v>0.97728825633903982</c:v>
                </c:pt>
                <c:pt idx="4">
                  <c:v>0.97728825633903982</c:v>
                </c:pt>
                <c:pt idx="5">
                  <c:v>0.97728825633903982</c:v>
                </c:pt>
                <c:pt idx="6">
                  <c:v>0.27290963135541707</c:v>
                </c:pt>
                <c:pt idx="7">
                  <c:v>0.97728825633903982</c:v>
                </c:pt>
                <c:pt idx="8">
                  <c:v>0.97728825633903982</c:v>
                </c:pt>
                <c:pt idx="9">
                  <c:v>0.97728825633903982</c:v>
                </c:pt>
                <c:pt idx="10">
                  <c:v>0.97728825633903982</c:v>
                </c:pt>
                <c:pt idx="11">
                  <c:v>0.97728825633903982</c:v>
                </c:pt>
                <c:pt idx="12">
                  <c:v>0.97728825633903982</c:v>
                </c:pt>
                <c:pt idx="13">
                  <c:v>0.27290963135541707</c:v>
                </c:pt>
                <c:pt idx="14">
                  <c:v>0.87123653758913366</c:v>
                </c:pt>
                <c:pt idx="15">
                  <c:v>0.87123653758913366</c:v>
                </c:pt>
                <c:pt idx="16">
                  <c:v>0.87123653758913366</c:v>
                </c:pt>
                <c:pt idx="17">
                  <c:v>0.87123653758913366</c:v>
                </c:pt>
                <c:pt idx="18">
                  <c:v>0.87123653758913366</c:v>
                </c:pt>
                <c:pt idx="19">
                  <c:v>0.87123653758913366</c:v>
                </c:pt>
                <c:pt idx="20">
                  <c:v>0.24476982290884858</c:v>
                </c:pt>
                <c:pt idx="21">
                  <c:v>0.69240928194950269</c:v>
                </c:pt>
                <c:pt idx="22">
                  <c:v>0.69240928194950269</c:v>
                </c:pt>
                <c:pt idx="23">
                  <c:v>0.69240928194950269</c:v>
                </c:pt>
                <c:pt idx="24">
                  <c:v>0.69240928194950269</c:v>
                </c:pt>
                <c:pt idx="25">
                  <c:v>0.69240928194950269</c:v>
                </c:pt>
                <c:pt idx="26">
                  <c:v>0.69240928194950269</c:v>
                </c:pt>
                <c:pt idx="27">
                  <c:v>0.19689554750360552</c:v>
                </c:pt>
                <c:pt idx="28">
                  <c:v>0.69240928194950269</c:v>
                </c:pt>
                <c:pt idx="29">
                  <c:v>0.69240928194950269</c:v>
                </c:pt>
                <c:pt idx="30">
                  <c:v>0.69240928194950269</c:v>
                </c:pt>
                <c:pt idx="31">
                  <c:v>0.69240928194950269</c:v>
                </c:pt>
                <c:pt idx="32">
                  <c:v>0.69240928194950269</c:v>
                </c:pt>
                <c:pt idx="33">
                  <c:v>0.69240928194950269</c:v>
                </c:pt>
                <c:pt idx="34">
                  <c:v>0.19689554750360552</c:v>
                </c:pt>
                <c:pt idx="35">
                  <c:v>0.69240928194950269</c:v>
                </c:pt>
                <c:pt idx="36">
                  <c:v>0.69240928194950269</c:v>
                </c:pt>
                <c:pt idx="37">
                  <c:v>0.69240928194950269</c:v>
                </c:pt>
                <c:pt idx="38">
                  <c:v>0.69240928194950269</c:v>
                </c:pt>
                <c:pt idx="39">
                  <c:v>0.69240928194950269</c:v>
                </c:pt>
                <c:pt idx="40">
                  <c:v>0.69240928194950269</c:v>
                </c:pt>
                <c:pt idx="41">
                  <c:v>0.19689554750360552</c:v>
                </c:pt>
                <c:pt idx="42">
                  <c:v>0.11019890687450283</c:v>
                </c:pt>
                <c:pt idx="43">
                  <c:v>0.11019890687450283</c:v>
                </c:pt>
                <c:pt idx="44">
                  <c:v>0.11019890687450283</c:v>
                </c:pt>
                <c:pt idx="45">
                  <c:v>0.11019890687450283</c:v>
                </c:pt>
                <c:pt idx="46">
                  <c:v>0.11019890687450283</c:v>
                </c:pt>
                <c:pt idx="47">
                  <c:v>0.11019890687450283</c:v>
                </c:pt>
                <c:pt idx="48">
                  <c:v>3.4519148076722725E-2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11F-4155-BE94-51D408771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610720"/>
        <c:axId val="44860256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Gain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Sheet1!$Z$2:$Z$50</c15:sqref>
                        </c15:formulaRef>
                      </c:ext>
                    </c:extLst>
                    <c:numCache>
                      <c:formatCode>General</c:formatCode>
                      <c:ptCount val="49"/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C11F-4155-BE94-51D408771F8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rewardB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Sheet1!$T$2:$T$50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</c:numCache>
                  </c:numRef>
                </c: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C11F-4155-BE94-51D408771F8E}"/>
                  </c:ext>
                </c:extLst>
              </c15:ser>
            </c15:filteredLineSeries>
          </c:ext>
        </c:extLst>
      </c:lineChart>
      <c:catAx>
        <c:axId val="44861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02560"/>
        <c:crosses val="autoZero"/>
        <c:auto val="1"/>
        <c:lblAlgn val="ctr"/>
        <c:lblOffset val="100"/>
        <c:noMultiLvlLbl val="0"/>
      </c:catAx>
      <c:valAx>
        <c:axId val="4486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1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604837</xdr:colOff>
      <xdr:row>5</xdr:row>
      <xdr:rowOff>161925</xdr:rowOff>
    </xdr:from>
    <xdr:to>
      <xdr:col>35</xdr:col>
      <xdr:colOff>509587</xdr:colOff>
      <xdr:row>20</xdr:row>
      <xdr:rowOff>47625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323850</xdr:colOff>
      <xdr:row>58</xdr:row>
      <xdr:rowOff>66675</xdr:rowOff>
    </xdr:from>
    <xdr:to>
      <xdr:col>32</xdr:col>
      <xdr:colOff>19050</xdr:colOff>
      <xdr:row>72</xdr:row>
      <xdr:rowOff>142875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17318</xdr:colOff>
      <xdr:row>53</xdr:row>
      <xdr:rowOff>51955</xdr:rowOff>
    </xdr:from>
    <xdr:to>
      <xdr:col>22</xdr:col>
      <xdr:colOff>303502</xdr:colOff>
      <xdr:row>77</xdr:row>
      <xdr:rowOff>61480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2F65E9FA-9A81-4B3C-BF6A-D2818616B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423863</xdr:colOff>
      <xdr:row>24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2F65E9FA-9A81-4B3C-BF6A-D2818616B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59"/>
  <sheetViews>
    <sheetView tabSelected="1" topLeftCell="K1" zoomScale="85" zoomScaleNormal="85" workbookViewId="0">
      <selection activeCell="R2" sqref="R2"/>
    </sheetView>
  </sheetViews>
  <sheetFormatPr defaultRowHeight="15" x14ac:dyDescent="0.25"/>
  <cols>
    <col min="1" max="1" width="14.85546875" bestFit="1" customWidth="1"/>
    <col min="2" max="2" width="12.42578125" bestFit="1" customWidth="1"/>
    <col min="3" max="3" width="10.42578125" bestFit="1" customWidth="1"/>
    <col min="4" max="4" width="26.5703125" bestFit="1" customWidth="1"/>
    <col min="5" max="5" width="24.42578125" bestFit="1" customWidth="1"/>
    <col min="6" max="6" width="24.140625" bestFit="1" customWidth="1"/>
    <col min="7" max="7" width="21" bestFit="1" customWidth="1"/>
    <col min="8" max="8" width="19.42578125" bestFit="1" customWidth="1"/>
    <col min="9" max="9" width="24.42578125" bestFit="1" customWidth="1"/>
    <col min="10" max="10" width="17" bestFit="1" customWidth="1"/>
    <col min="11" max="11" width="22.140625" bestFit="1" customWidth="1"/>
    <col min="12" max="12" width="15" bestFit="1" customWidth="1"/>
    <col min="13" max="13" width="20" bestFit="1" customWidth="1"/>
    <col min="14" max="14" width="12.28515625" bestFit="1" customWidth="1"/>
    <col min="15" max="15" width="12" bestFit="1" customWidth="1"/>
    <col min="16" max="16" width="11.140625" bestFit="1" customWidth="1"/>
    <col min="17" max="17" width="9.140625" bestFit="1" customWidth="1"/>
    <col min="18" max="19" width="12" bestFit="1" customWidth="1"/>
    <col min="26" max="26" width="12.28515625" customWidth="1"/>
    <col min="27" max="27" width="13.28515625" bestFit="1" customWidth="1"/>
  </cols>
  <sheetData>
    <row r="1" spans="1:31" x14ac:dyDescent="0.25">
      <c r="A1" s="2" t="s">
        <v>3</v>
      </c>
      <c r="B1" s="2" t="s">
        <v>2</v>
      </c>
      <c r="C1" s="2" t="s">
        <v>1</v>
      </c>
      <c r="D1" s="2" t="s">
        <v>4</v>
      </c>
      <c r="E1" s="2" t="s">
        <v>6</v>
      </c>
      <c r="F1" s="2" t="s">
        <v>5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0</v>
      </c>
      <c r="O1" s="3" t="s">
        <v>15</v>
      </c>
      <c r="P1" s="3" t="s">
        <v>17</v>
      </c>
      <c r="Q1" s="3" t="s">
        <v>16</v>
      </c>
      <c r="R1" s="3" t="s">
        <v>14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/>
      <c r="Z1" s="5"/>
      <c r="AA1" s="5" t="s">
        <v>24</v>
      </c>
      <c r="AD1" t="s">
        <v>23</v>
      </c>
      <c r="AE1" t="s">
        <v>25</v>
      </c>
    </row>
    <row r="2" spans="1:31" x14ac:dyDescent="0.25">
      <c r="A2">
        <v>6.6</v>
      </c>
      <c r="B2">
        <v>9.5</v>
      </c>
      <c r="C2">
        <f>A2*B2</f>
        <v>62.699999999999996</v>
      </c>
      <c r="D2">
        <v>8</v>
      </c>
      <c r="E2">
        <f t="shared" ref="E2:E33" si="0">POWER(2,D2)</f>
        <v>256</v>
      </c>
      <c r="F2">
        <v>8</v>
      </c>
      <c r="G2">
        <f t="shared" ref="G2:G8" si="1">POWER(2,F2)</f>
        <v>256</v>
      </c>
      <c r="H2">
        <f t="shared" ref="H2:H33" si="2">FLOOR($A$2*E2,4)</f>
        <v>1688</v>
      </c>
      <c r="I2">
        <f t="shared" ref="I2:I33" si="3">H2/E2</f>
        <v>6.59375</v>
      </c>
      <c r="J2">
        <f t="shared" ref="J2:J33" si="4">FLOOR($B$2*G2,4)</f>
        <v>2432</v>
      </c>
      <c r="K2">
        <f t="shared" ref="K2:K33" si="5">J2/G2</f>
        <v>9.5</v>
      </c>
      <c r="L2">
        <f t="shared" ref="L2:L33" si="6">H2*J2</f>
        <v>4105216</v>
      </c>
      <c r="M2">
        <f t="shared" ref="M2:M33" si="7">L2/POWER(2,(D2+F2))</f>
        <v>62.640625</v>
      </c>
      <c r="N2" s="4">
        <f t="shared" ref="N2:N8" si="8">ABS($C$2-M2)/$C$2</f>
        <v>9.4696969696962902E-4</v>
      </c>
      <c r="O2">
        <v>0.05</v>
      </c>
      <c r="P2">
        <f xml:space="preserve"> ABS($O$2 - N2)</f>
        <v>4.9053030303030376E-2</v>
      </c>
      <c r="Q2">
        <f t="shared" ref="Q2:Q33" si="9">D2+F2</f>
        <v>16</v>
      </c>
      <c r="R2">
        <f xml:space="preserve"> reward(N2, $O$2, Q2)</f>
        <v>6.2440814393939399E-2</v>
      </c>
      <c r="S2">
        <f>R2/(N2 * N2)</f>
        <v>69630.000000009997</v>
      </c>
      <c r="T2">
        <f>R2 * Z2</f>
        <v>0</v>
      </c>
      <c r="U2">
        <f xml:space="preserve">  R2 *AA2</f>
        <v>6.1022674623442658E-2</v>
      </c>
      <c r="V2">
        <f>R2 - R2*N2</f>
        <v>6.2381684834854234E-2</v>
      </c>
      <c r="W2">
        <f>R2* (N2 * N2)</f>
        <v>5.5993900648827085E-8</v>
      </c>
      <c r="AA2">
        <f>POWER(0.5,N2*$AE$2)</f>
        <v>0.97728825633903982</v>
      </c>
      <c r="AD2">
        <v>1000</v>
      </c>
      <c r="AE2">
        <v>35</v>
      </c>
    </row>
    <row r="3" spans="1:31" x14ac:dyDescent="0.25">
      <c r="D3">
        <v>8</v>
      </c>
      <c r="E3">
        <f t="shared" si="0"/>
        <v>256</v>
      </c>
      <c r="F3">
        <v>7</v>
      </c>
      <c r="G3">
        <f t="shared" si="1"/>
        <v>128</v>
      </c>
      <c r="H3">
        <f t="shared" si="2"/>
        <v>1688</v>
      </c>
      <c r="I3">
        <f t="shared" si="3"/>
        <v>6.59375</v>
      </c>
      <c r="J3">
        <f t="shared" si="4"/>
        <v>1216</v>
      </c>
      <c r="K3">
        <f t="shared" si="5"/>
        <v>9.5</v>
      </c>
      <c r="L3">
        <f t="shared" si="6"/>
        <v>2052608</v>
      </c>
      <c r="M3">
        <f t="shared" si="7"/>
        <v>62.640625</v>
      </c>
      <c r="N3" s="4">
        <f t="shared" si="8"/>
        <v>9.4696969696962902E-4</v>
      </c>
      <c r="P3">
        <f t="shared" ref="P3:P50" si="10" xml:space="preserve"> ABS($O$2 - N3)</f>
        <v>4.9053030303030376E-2</v>
      </c>
      <c r="Q3">
        <f t="shared" si="9"/>
        <v>15</v>
      </c>
      <c r="R3">
        <f t="shared" ref="R3:R33" si="11" xml:space="preserve"> reward(N3, $O$2, Q3)</f>
        <v>6.6603535353535359E-2</v>
      </c>
      <c r="S3">
        <f t="shared" ref="S3:S50" si="12">R3/(N3 * N3)</f>
        <v>74272.000000010667</v>
      </c>
      <c r="T3">
        <f t="shared" ref="T3:T50" si="13">R3 * Z3</f>
        <v>0</v>
      </c>
      <c r="U3">
        <f t="shared" ref="U3:U50" si="14" xml:space="preserve">  R3 *AA3</f>
        <v>6.5090852931672161E-2</v>
      </c>
      <c r="V3">
        <f t="shared" ref="V3:V33" si="15">R3 - R3*N3</f>
        <v>6.6540463823844515E-2</v>
      </c>
      <c r="W3">
        <f t="shared" ref="W3:W33" si="16">R3* (N3 * N3)</f>
        <v>5.9726827358748891E-8</v>
      </c>
      <c r="AA3">
        <f t="shared" ref="AA3:AA50" si="17">POWER(0.5,N3*$AE$2)</f>
        <v>0.97728825633903982</v>
      </c>
    </row>
    <row r="4" spans="1:31" x14ac:dyDescent="0.25">
      <c r="D4">
        <v>8</v>
      </c>
      <c r="E4">
        <f t="shared" si="0"/>
        <v>256</v>
      </c>
      <c r="F4">
        <v>6</v>
      </c>
      <c r="G4">
        <f t="shared" si="1"/>
        <v>64</v>
      </c>
      <c r="H4">
        <f t="shared" si="2"/>
        <v>1688</v>
      </c>
      <c r="I4">
        <f t="shared" si="3"/>
        <v>6.59375</v>
      </c>
      <c r="J4">
        <f t="shared" si="4"/>
        <v>608</v>
      </c>
      <c r="K4">
        <f t="shared" si="5"/>
        <v>9.5</v>
      </c>
      <c r="L4">
        <f t="shared" si="6"/>
        <v>1026304</v>
      </c>
      <c r="M4">
        <f t="shared" si="7"/>
        <v>62.640625</v>
      </c>
      <c r="N4" s="4">
        <f t="shared" si="8"/>
        <v>9.4696969696962902E-4</v>
      </c>
      <c r="P4">
        <f t="shared" si="10"/>
        <v>4.9053030303030376E-2</v>
      </c>
      <c r="Q4">
        <f t="shared" si="9"/>
        <v>14</v>
      </c>
      <c r="R4">
        <f t="shared" si="11"/>
        <v>7.1360930735930736E-2</v>
      </c>
      <c r="S4">
        <f t="shared" si="12"/>
        <v>79577.142857154278</v>
      </c>
      <c r="T4">
        <f t="shared" si="13"/>
        <v>0</v>
      </c>
      <c r="U4">
        <f t="shared" si="14"/>
        <v>6.9740199569648748E-2</v>
      </c>
      <c r="V4">
        <f t="shared" si="15"/>
        <v>7.1293354096976264E-2</v>
      </c>
      <c r="W4">
        <f t="shared" si="16"/>
        <v>6.3993029312945238E-8</v>
      </c>
      <c r="AA4">
        <f t="shared" si="17"/>
        <v>0.97728825633903982</v>
      </c>
    </row>
    <row r="5" spans="1:31" x14ac:dyDescent="0.25">
      <c r="D5">
        <v>8</v>
      </c>
      <c r="E5">
        <f t="shared" si="0"/>
        <v>256</v>
      </c>
      <c r="F5">
        <v>5</v>
      </c>
      <c r="G5">
        <f t="shared" si="1"/>
        <v>32</v>
      </c>
      <c r="H5">
        <f t="shared" si="2"/>
        <v>1688</v>
      </c>
      <c r="I5">
        <f t="shared" si="3"/>
        <v>6.59375</v>
      </c>
      <c r="J5">
        <f t="shared" si="4"/>
        <v>304</v>
      </c>
      <c r="K5">
        <f t="shared" si="5"/>
        <v>9.5</v>
      </c>
      <c r="L5">
        <f t="shared" si="6"/>
        <v>513152</v>
      </c>
      <c r="M5">
        <f t="shared" si="7"/>
        <v>62.640625</v>
      </c>
      <c r="N5" s="4">
        <f t="shared" si="8"/>
        <v>9.4696969696962902E-4</v>
      </c>
      <c r="P5">
        <f t="shared" si="10"/>
        <v>4.9053030303030376E-2</v>
      </c>
      <c r="Q5">
        <f t="shared" si="9"/>
        <v>13</v>
      </c>
      <c r="R5">
        <f t="shared" si="11"/>
        <v>7.6850233100233104E-2</v>
      </c>
      <c r="S5">
        <f t="shared" si="12"/>
        <v>85698.461538473843</v>
      </c>
      <c r="T5">
        <f t="shared" si="13"/>
        <v>0</v>
      </c>
      <c r="U5">
        <f t="shared" si="14"/>
        <v>7.5104830305775569E-2</v>
      </c>
      <c r="V5">
        <f t="shared" si="15"/>
        <v>7.6777458258282125E-2</v>
      </c>
      <c r="W5">
        <f t="shared" si="16"/>
        <v>6.8915570029325639E-8</v>
      </c>
      <c r="AA5">
        <f t="shared" si="17"/>
        <v>0.97728825633903982</v>
      </c>
    </row>
    <row r="6" spans="1:31" x14ac:dyDescent="0.25">
      <c r="D6">
        <v>8</v>
      </c>
      <c r="E6">
        <f t="shared" si="0"/>
        <v>256</v>
      </c>
      <c r="F6">
        <v>4</v>
      </c>
      <c r="G6">
        <f t="shared" si="1"/>
        <v>16</v>
      </c>
      <c r="H6">
        <f t="shared" si="2"/>
        <v>1688</v>
      </c>
      <c r="I6">
        <f t="shared" si="3"/>
        <v>6.59375</v>
      </c>
      <c r="J6">
        <f t="shared" si="4"/>
        <v>152</v>
      </c>
      <c r="K6">
        <f t="shared" si="5"/>
        <v>9.5</v>
      </c>
      <c r="L6">
        <f t="shared" si="6"/>
        <v>256576</v>
      </c>
      <c r="M6">
        <f t="shared" si="7"/>
        <v>62.640625</v>
      </c>
      <c r="N6" s="4">
        <f t="shared" si="8"/>
        <v>9.4696969696962902E-4</v>
      </c>
      <c r="P6">
        <f t="shared" si="10"/>
        <v>4.9053030303030376E-2</v>
      </c>
      <c r="Q6">
        <f t="shared" si="9"/>
        <v>12</v>
      </c>
      <c r="R6">
        <f t="shared" si="11"/>
        <v>8.3254419191919199E-2</v>
      </c>
      <c r="S6">
        <f t="shared" si="12"/>
        <v>92840.00000001333</v>
      </c>
      <c r="T6">
        <f t="shared" si="13"/>
        <v>0</v>
      </c>
      <c r="U6">
        <f t="shared" si="14"/>
        <v>8.1363566164590201E-2</v>
      </c>
      <c r="V6">
        <f t="shared" si="15"/>
        <v>8.317557977980565E-2</v>
      </c>
      <c r="W6">
        <f t="shared" si="16"/>
        <v>7.4658534198436113E-8</v>
      </c>
      <c r="AA6">
        <f t="shared" si="17"/>
        <v>0.97728825633903982</v>
      </c>
    </row>
    <row r="7" spans="1:31" x14ac:dyDescent="0.25">
      <c r="D7">
        <v>8</v>
      </c>
      <c r="E7">
        <f t="shared" si="0"/>
        <v>256</v>
      </c>
      <c r="F7">
        <v>3</v>
      </c>
      <c r="G7">
        <f t="shared" si="1"/>
        <v>8</v>
      </c>
      <c r="H7">
        <f t="shared" si="2"/>
        <v>1688</v>
      </c>
      <c r="I7">
        <f t="shared" si="3"/>
        <v>6.59375</v>
      </c>
      <c r="J7">
        <f t="shared" si="4"/>
        <v>76</v>
      </c>
      <c r="K7">
        <f t="shared" si="5"/>
        <v>9.5</v>
      </c>
      <c r="L7">
        <f t="shared" si="6"/>
        <v>128288</v>
      </c>
      <c r="M7">
        <f t="shared" si="7"/>
        <v>62.640625</v>
      </c>
      <c r="N7" s="4">
        <f t="shared" si="8"/>
        <v>9.4696969696962902E-4</v>
      </c>
      <c r="P7">
        <f t="shared" si="10"/>
        <v>4.9053030303030376E-2</v>
      </c>
      <c r="Q7">
        <f t="shared" si="9"/>
        <v>11</v>
      </c>
      <c r="R7">
        <f t="shared" si="11"/>
        <v>9.0823002754820942E-2</v>
      </c>
      <c r="S7">
        <f t="shared" si="12"/>
        <v>101280.00000001454</v>
      </c>
      <c r="T7">
        <f t="shared" si="13"/>
        <v>0</v>
      </c>
      <c r="U7">
        <f t="shared" si="14"/>
        <v>8.8760253997734767E-2</v>
      </c>
      <c r="V7">
        <f t="shared" si="15"/>
        <v>9.0736996123424341E-2</v>
      </c>
      <c r="W7">
        <f t="shared" si="16"/>
        <v>8.1445673671021213E-8</v>
      </c>
      <c r="AA7">
        <f t="shared" si="17"/>
        <v>0.97728825633903982</v>
      </c>
    </row>
    <row r="8" spans="1:31" x14ac:dyDescent="0.25">
      <c r="D8">
        <v>8</v>
      </c>
      <c r="E8">
        <f t="shared" si="0"/>
        <v>256</v>
      </c>
      <c r="F8">
        <v>2</v>
      </c>
      <c r="G8">
        <f t="shared" si="1"/>
        <v>4</v>
      </c>
      <c r="H8">
        <f t="shared" si="2"/>
        <v>1688</v>
      </c>
      <c r="I8">
        <f t="shared" si="3"/>
        <v>6.59375</v>
      </c>
      <c r="J8">
        <f t="shared" si="4"/>
        <v>36</v>
      </c>
      <c r="K8">
        <f t="shared" si="5"/>
        <v>9</v>
      </c>
      <c r="L8">
        <f t="shared" si="6"/>
        <v>60768</v>
      </c>
      <c r="M8">
        <f t="shared" si="7"/>
        <v>59.34375</v>
      </c>
      <c r="N8" s="4">
        <f t="shared" si="8"/>
        <v>5.3528708133971224E-2</v>
      </c>
      <c r="P8">
        <f t="shared" si="10"/>
        <v>3.5287081339712215E-3</v>
      </c>
      <c r="Q8">
        <f t="shared" si="9"/>
        <v>10</v>
      </c>
      <c r="R8">
        <f t="shared" si="11"/>
        <v>0</v>
      </c>
      <c r="S8">
        <f t="shared" si="12"/>
        <v>0</v>
      </c>
      <c r="T8">
        <f t="shared" si="13"/>
        <v>0</v>
      </c>
      <c r="U8">
        <f t="shared" si="14"/>
        <v>0</v>
      </c>
      <c r="V8">
        <f t="shared" si="15"/>
        <v>0</v>
      </c>
      <c r="W8">
        <f t="shared" si="16"/>
        <v>0</v>
      </c>
      <c r="AA8">
        <f t="shared" si="17"/>
        <v>0.27290963135541707</v>
      </c>
    </row>
    <row r="9" spans="1:31" x14ac:dyDescent="0.25">
      <c r="D9">
        <v>7</v>
      </c>
      <c r="E9">
        <f t="shared" si="0"/>
        <v>128</v>
      </c>
      <c r="F9">
        <v>8</v>
      </c>
      <c r="G9">
        <f t="shared" ref="G9:G50" si="18">POWER(2,F9)</f>
        <v>256</v>
      </c>
      <c r="H9">
        <f t="shared" si="2"/>
        <v>844</v>
      </c>
      <c r="I9">
        <f t="shared" si="3"/>
        <v>6.59375</v>
      </c>
      <c r="J9">
        <f t="shared" si="4"/>
        <v>2432</v>
      </c>
      <c r="K9">
        <f t="shared" si="5"/>
        <v>9.5</v>
      </c>
      <c r="L9">
        <f t="shared" si="6"/>
        <v>2052608</v>
      </c>
      <c r="M9">
        <f t="shared" si="7"/>
        <v>62.640625</v>
      </c>
      <c r="N9" s="4">
        <f t="shared" ref="N9:N50" si="19">ABS($C$2-M9)/$C$2</f>
        <v>9.4696969696962902E-4</v>
      </c>
      <c r="P9">
        <f t="shared" si="10"/>
        <v>4.9053030303030376E-2</v>
      </c>
      <c r="Q9">
        <f t="shared" si="9"/>
        <v>15</v>
      </c>
      <c r="R9">
        <f t="shared" si="11"/>
        <v>6.6603535353535359E-2</v>
      </c>
      <c r="S9">
        <f t="shared" si="12"/>
        <v>74272.000000010667</v>
      </c>
      <c r="T9">
        <f t="shared" si="13"/>
        <v>0</v>
      </c>
      <c r="U9">
        <f t="shared" si="14"/>
        <v>6.5090852931672161E-2</v>
      </c>
      <c r="V9">
        <f t="shared" si="15"/>
        <v>6.6540463823844515E-2</v>
      </c>
      <c r="W9">
        <f t="shared" si="16"/>
        <v>5.9726827358748891E-8</v>
      </c>
      <c r="AA9">
        <f t="shared" si="17"/>
        <v>0.97728825633903982</v>
      </c>
    </row>
    <row r="10" spans="1:31" x14ac:dyDescent="0.25">
      <c r="D10">
        <v>7</v>
      </c>
      <c r="E10">
        <f t="shared" si="0"/>
        <v>128</v>
      </c>
      <c r="F10">
        <v>7</v>
      </c>
      <c r="G10">
        <f t="shared" si="18"/>
        <v>128</v>
      </c>
      <c r="H10">
        <f t="shared" si="2"/>
        <v>844</v>
      </c>
      <c r="I10">
        <f t="shared" si="3"/>
        <v>6.59375</v>
      </c>
      <c r="J10">
        <f t="shared" si="4"/>
        <v>1216</v>
      </c>
      <c r="K10">
        <f t="shared" si="5"/>
        <v>9.5</v>
      </c>
      <c r="L10">
        <f t="shared" si="6"/>
        <v>1026304</v>
      </c>
      <c r="M10">
        <f t="shared" si="7"/>
        <v>62.640625</v>
      </c>
      <c r="N10" s="4">
        <f t="shared" si="19"/>
        <v>9.4696969696962902E-4</v>
      </c>
      <c r="P10">
        <f t="shared" si="10"/>
        <v>4.9053030303030376E-2</v>
      </c>
      <c r="Q10">
        <f t="shared" si="9"/>
        <v>14</v>
      </c>
      <c r="R10">
        <f t="shared" si="11"/>
        <v>7.1360930735930736E-2</v>
      </c>
      <c r="S10">
        <f t="shared" si="12"/>
        <v>79577.142857154278</v>
      </c>
      <c r="T10">
        <f t="shared" si="13"/>
        <v>0</v>
      </c>
      <c r="U10">
        <f t="shared" si="14"/>
        <v>6.9740199569648748E-2</v>
      </c>
      <c r="V10">
        <f t="shared" si="15"/>
        <v>7.1293354096976264E-2</v>
      </c>
      <c r="W10">
        <f t="shared" si="16"/>
        <v>6.3993029312945238E-8</v>
      </c>
      <c r="AA10">
        <f t="shared" si="17"/>
        <v>0.97728825633903982</v>
      </c>
    </row>
    <row r="11" spans="1:31" x14ac:dyDescent="0.25">
      <c r="D11">
        <v>7</v>
      </c>
      <c r="E11">
        <f t="shared" si="0"/>
        <v>128</v>
      </c>
      <c r="F11">
        <v>6</v>
      </c>
      <c r="G11">
        <f t="shared" si="18"/>
        <v>64</v>
      </c>
      <c r="H11">
        <f t="shared" si="2"/>
        <v>844</v>
      </c>
      <c r="I11">
        <f t="shared" si="3"/>
        <v>6.59375</v>
      </c>
      <c r="J11">
        <f t="shared" si="4"/>
        <v>608</v>
      </c>
      <c r="K11">
        <f t="shared" si="5"/>
        <v>9.5</v>
      </c>
      <c r="L11">
        <f t="shared" si="6"/>
        <v>513152</v>
      </c>
      <c r="M11">
        <f t="shared" si="7"/>
        <v>62.640625</v>
      </c>
      <c r="N11" s="4">
        <f t="shared" si="19"/>
        <v>9.4696969696962902E-4</v>
      </c>
      <c r="P11">
        <f t="shared" si="10"/>
        <v>4.9053030303030376E-2</v>
      </c>
      <c r="Q11">
        <f t="shared" si="9"/>
        <v>13</v>
      </c>
      <c r="R11">
        <f t="shared" si="11"/>
        <v>7.6850233100233104E-2</v>
      </c>
      <c r="S11">
        <f t="shared" si="12"/>
        <v>85698.461538473843</v>
      </c>
      <c r="T11">
        <f t="shared" si="13"/>
        <v>0</v>
      </c>
      <c r="U11">
        <f t="shared" si="14"/>
        <v>7.5104830305775569E-2</v>
      </c>
      <c r="V11">
        <f t="shared" si="15"/>
        <v>7.6777458258282125E-2</v>
      </c>
      <c r="W11">
        <f t="shared" si="16"/>
        <v>6.8915570029325639E-8</v>
      </c>
      <c r="AA11">
        <f t="shared" si="17"/>
        <v>0.97728825633903982</v>
      </c>
    </row>
    <row r="12" spans="1:31" x14ac:dyDescent="0.25">
      <c r="D12">
        <v>7</v>
      </c>
      <c r="E12">
        <f t="shared" si="0"/>
        <v>128</v>
      </c>
      <c r="F12">
        <v>5</v>
      </c>
      <c r="G12">
        <f t="shared" si="18"/>
        <v>32</v>
      </c>
      <c r="H12">
        <f t="shared" si="2"/>
        <v>844</v>
      </c>
      <c r="I12">
        <f t="shared" si="3"/>
        <v>6.59375</v>
      </c>
      <c r="J12">
        <f t="shared" si="4"/>
        <v>304</v>
      </c>
      <c r="K12">
        <f t="shared" si="5"/>
        <v>9.5</v>
      </c>
      <c r="L12">
        <f t="shared" si="6"/>
        <v>256576</v>
      </c>
      <c r="M12">
        <f t="shared" si="7"/>
        <v>62.640625</v>
      </c>
      <c r="N12" s="4">
        <f t="shared" si="19"/>
        <v>9.4696969696962902E-4</v>
      </c>
      <c r="P12">
        <f t="shared" si="10"/>
        <v>4.9053030303030376E-2</v>
      </c>
      <c r="Q12">
        <f t="shared" si="9"/>
        <v>12</v>
      </c>
      <c r="R12">
        <f t="shared" si="11"/>
        <v>8.3254419191919199E-2</v>
      </c>
      <c r="S12">
        <f t="shared" si="12"/>
        <v>92840.00000001333</v>
      </c>
      <c r="T12">
        <f t="shared" si="13"/>
        <v>0</v>
      </c>
      <c r="U12">
        <f t="shared" si="14"/>
        <v>8.1363566164590201E-2</v>
      </c>
      <c r="V12">
        <f t="shared" si="15"/>
        <v>8.317557977980565E-2</v>
      </c>
      <c r="W12">
        <f t="shared" si="16"/>
        <v>7.4658534198436113E-8</v>
      </c>
      <c r="AA12">
        <f t="shared" si="17"/>
        <v>0.97728825633903982</v>
      </c>
    </row>
    <row r="13" spans="1:31" x14ac:dyDescent="0.25">
      <c r="D13">
        <v>7</v>
      </c>
      <c r="E13">
        <f t="shared" si="0"/>
        <v>128</v>
      </c>
      <c r="F13">
        <v>4</v>
      </c>
      <c r="G13">
        <f t="shared" si="18"/>
        <v>16</v>
      </c>
      <c r="H13">
        <f t="shared" si="2"/>
        <v>844</v>
      </c>
      <c r="I13">
        <f t="shared" si="3"/>
        <v>6.59375</v>
      </c>
      <c r="J13">
        <f t="shared" si="4"/>
        <v>152</v>
      </c>
      <c r="K13">
        <f t="shared" si="5"/>
        <v>9.5</v>
      </c>
      <c r="L13">
        <f t="shared" si="6"/>
        <v>128288</v>
      </c>
      <c r="M13">
        <f t="shared" si="7"/>
        <v>62.640625</v>
      </c>
      <c r="N13" s="4">
        <f t="shared" si="19"/>
        <v>9.4696969696962902E-4</v>
      </c>
      <c r="P13">
        <f t="shared" si="10"/>
        <v>4.9053030303030376E-2</v>
      </c>
      <c r="Q13">
        <f t="shared" si="9"/>
        <v>11</v>
      </c>
      <c r="R13">
        <f t="shared" si="11"/>
        <v>9.0823002754820942E-2</v>
      </c>
      <c r="S13">
        <f t="shared" si="12"/>
        <v>101280.00000001454</v>
      </c>
      <c r="T13">
        <f t="shared" si="13"/>
        <v>0</v>
      </c>
      <c r="U13">
        <f t="shared" si="14"/>
        <v>8.8760253997734767E-2</v>
      </c>
      <c r="V13">
        <f t="shared" si="15"/>
        <v>9.0736996123424341E-2</v>
      </c>
      <c r="W13">
        <f t="shared" si="16"/>
        <v>8.1445673671021213E-8</v>
      </c>
      <c r="AA13">
        <f t="shared" si="17"/>
        <v>0.97728825633903982</v>
      </c>
    </row>
    <row r="14" spans="1:31" x14ac:dyDescent="0.25">
      <c r="D14">
        <v>7</v>
      </c>
      <c r="E14">
        <f t="shared" si="0"/>
        <v>128</v>
      </c>
      <c r="F14">
        <v>3</v>
      </c>
      <c r="G14">
        <f t="shared" si="18"/>
        <v>8</v>
      </c>
      <c r="H14">
        <f t="shared" si="2"/>
        <v>844</v>
      </c>
      <c r="I14">
        <f t="shared" si="3"/>
        <v>6.59375</v>
      </c>
      <c r="J14">
        <f t="shared" si="4"/>
        <v>76</v>
      </c>
      <c r="K14">
        <f t="shared" si="5"/>
        <v>9.5</v>
      </c>
      <c r="L14">
        <f t="shared" si="6"/>
        <v>64144</v>
      </c>
      <c r="M14">
        <f t="shared" si="7"/>
        <v>62.640625</v>
      </c>
      <c r="N14" s="4">
        <f t="shared" si="19"/>
        <v>9.4696969696962902E-4</v>
      </c>
      <c r="P14">
        <f t="shared" si="10"/>
        <v>4.9053030303030376E-2</v>
      </c>
      <c r="Q14">
        <f t="shared" si="9"/>
        <v>10</v>
      </c>
      <c r="R14">
        <f t="shared" si="11"/>
        <v>9.9905303030303039E-2</v>
      </c>
      <c r="S14">
        <f t="shared" si="12"/>
        <v>111408.00000001599</v>
      </c>
      <c r="T14">
        <f t="shared" si="13"/>
        <v>0</v>
      </c>
      <c r="U14">
        <f t="shared" si="14"/>
        <v>9.7636279397508241E-2</v>
      </c>
      <c r="V14">
        <f t="shared" si="15"/>
        <v>9.9810695735766772E-2</v>
      </c>
      <c r="W14">
        <f t="shared" si="16"/>
        <v>8.9590241038123336E-8</v>
      </c>
      <c r="AA14">
        <f t="shared" si="17"/>
        <v>0.97728825633903982</v>
      </c>
    </row>
    <row r="15" spans="1:31" x14ac:dyDescent="0.25">
      <c r="D15">
        <v>7</v>
      </c>
      <c r="E15">
        <f t="shared" si="0"/>
        <v>128</v>
      </c>
      <c r="F15">
        <v>2</v>
      </c>
      <c r="G15">
        <f t="shared" si="18"/>
        <v>4</v>
      </c>
      <c r="H15">
        <f t="shared" si="2"/>
        <v>844</v>
      </c>
      <c r="I15">
        <f t="shared" si="3"/>
        <v>6.59375</v>
      </c>
      <c r="J15">
        <f t="shared" si="4"/>
        <v>36</v>
      </c>
      <c r="K15">
        <f t="shared" si="5"/>
        <v>9</v>
      </c>
      <c r="L15">
        <f t="shared" si="6"/>
        <v>30384</v>
      </c>
      <c r="M15">
        <f t="shared" si="7"/>
        <v>59.34375</v>
      </c>
      <c r="N15" s="4">
        <f t="shared" si="19"/>
        <v>5.3528708133971224E-2</v>
      </c>
      <c r="P15">
        <f t="shared" si="10"/>
        <v>3.5287081339712215E-3</v>
      </c>
      <c r="Q15">
        <f t="shared" si="9"/>
        <v>9</v>
      </c>
      <c r="R15">
        <f t="shared" si="11"/>
        <v>0</v>
      </c>
      <c r="S15">
        <f t="shared" si="12"/>
        <v>0</v>
      </c>
      <c r="T15">
        <f t="shared" si="13"/>
        <v>0</v>
      </c>
      <c r="U15">
        <f t="shared" si="14"/>
        <v>0</v>
      </c>
      <c r="V15">
        <f t="shared" si="15"/>
        <v>0</v>
      </c>
      <c r="W15">
        <f t="shared" si="16"/>
        <v>0</v>
      </c>
      <c r="AA15">
        <f t="shared" si="17"/>
        <v>0.27290963135541707</v>
      </c>
    </row>
    <row r="16" spans="1:31" x14ac:dyDescent="0.25">
      <c r="D16">
        <v>6</v>
      </c>
      <c r="E16">
        <f t="shared" si="0"/>
        <v>64</v>
      </c>
      <c r="F16">
        <v>8</v>
      </c>
      <c r="G16">
        <f t="shared" si="18"/>
        <v>256</v>
      </c>
      <c r="H16">
        <f t="shared" si="2"/>
        <v>420</v>
      </c>
      <c r="I16">
        <f t="shared" si="3"/>
        <v>6.5625</v>
      </c>
      <c r="J16">
        <f t="shared" si="4"/>
        <v>2432</v>
      </c>
      <c r="K16">
        <f t="shared" si="5"/>
        <v>9.5</v>
      </c>
      <c r="L16">
        <f t="shared" si="6"/>
        <v>1021440</v>
      </c>
      <c r="M16">
        <f t="shared" si="7"/>
        <v>62.34375</v>
      </c>
      <c r="N16" s="4">
        <f t="shared" si="19"/>
        <v>5.6818181818181143E-3</v>
      </c>
      <c r="P16">
        <f t="shared" si="10"/>
        <v>4.4318181818181888E-2</v>
      </c>
      <c r="Q16">
        <f t="shared" si="9"/>
        <v>14</v>
      </c>
      <c r="R16">
        <f t="shared" si="11"/>
        <v>7.1022727272727279E-2</v>
      </c>
      <c r="S16">
        <f t="shared" si="12"/>
        <v>2200.0000000000523</v>
      </c>
      <c r="T16">
        <f t="shared" si="13"/>
        <v>0</v>
      </c>
      <c r="U16">
        <f t="shared" si="14"/>
        <v>6.187759499922825E-2</v>
      </c>
      <c r="V16">
        <f t="shared" si="15"/>
        <v>7.0619189049586792E-2</v>
      </c>
      <c r="W16">
        <f t="shared" si="16"/>
        <v>2.292830813298218E-6</v>
      </c>
      <c r="AA16">
        <f t="shared" si="17"/>
        <v>0.87123653758913366</v>
      </c>
    </row>
    <row r="17" spans="4:27" x14ac:dyDescent="0.25">
      <c r="D17">
        <v>6</v>
      </c>
      <c r="E17">
        <f t="shared" si="0"/>
        <v>64</v>
      </c>
      <c r="F17">
        <v>7</v>
      </c>
      <c r="G17">
        <f t="shared" si="18"/>
        <v>128</v>
      </c>
      <c r="H17">
        <f t="shared" si="2"/>
        <v>420</v>
      </c>
      <c r="I17">
        <f t="shared" si="3"/>
        <v>6.5625</v>
      </c>
      <c r="J17">
        <f t="shared" si="4"/>
        <v>1216</v>
      </c>
      <c r="K17">
        <f t="shared" si="5"/>
        <v>9.5</v>
      </c>
      <c r="L17">
        <f t="shared" si="6"/>
        <v>510720</v>
      </c>
      <c r="M17">
        <f t="shared" si="7"/>
        <v>62.34375</v>
      </c>
      <c r="N17" s="4">
        <f t="shared" si="19"/>
        <v>5.6818181818181143E-3</v>
      </c>
      <c r="P17">
        <f t="shared" si="10"/>
        <v>4.4318181818181888E-2</v>
      </c>
      <c r="Q17">
        <f t="shared" si="9"/>
        <v>13</v>
      </c>
      <c r="R17">
        <f t="shared" si="11"/>
        <v>7.6486013986013984E-2</v>
      </c>
      <c r="S17">
        <f t="shared" si="12"/>
        <v>2369.2307692308254</v>
      </c>
      <c r="T17">
        <f t="shared" si="13"/>
        <v>0</v>
      </c>
      <c r="U17">
        <f t="shared" si="14"/>
        <v>6.6637409999168881E-2</v>
      </c>
      <c r="V17">
        <f t="shared" si="15"/>
        <v>7.6051434361093462E-2</v>
      </c>
      <c r="W17">
        <f t="shared" si="16"/>
        <v>2.4692024143211573E-6</v>
      </c>
      <c r="AA17">
        <f t="shared" si="17"/>
        <v>0.87123653758913366</v>
      </c>
    </row>
    <row r="18" spans="4:27" x14ac:dyDescent="0.25">
      <c r="D18">
        <v>6</v>
      </c>
      <c r="E18">
        <f t="shared" si="0"/>
        <v>64</v>
      </c>
      <c r="F18">
        <v>6</v>
      </c>
      <c r="G18">
        <f t="shared" si="18"/>
        <v>64</v>
      </c>
      <c r="H18">
        <f t="shared" si="2"/>
        <v>420</v>
      </c>
      <c r="I18">
        <f t="shared" si="3"/>
        <v>6.5625</v>
      </c>
      <c r="J18">
        <f t="shared" si="4"/>
        <v>608</v>
      </c>
      <c r="K18">
        <f t="shared" si="5"/>
        <v>9.5</v>
      </c>
      <c r="L18">
        <f t="shared" si="6"/>
        <v>255360</v>
      </c>
      <c r="M18">
        <f t="shared" si="7"/>
        <v>62.34375</v>
      </c>
      <c r="N18" s="4">
        <f t="shared" si="19"/>
        <v>5.6818181818181143E-3</v>
      </c>
      <c r="P18">
        <f t="shared" si="10"/>
        <v>4.4318181818181888E-2</v>
      </c>
      <c r="Q18">
        <f t="shared" si="9"/>
        <v>12</v>
      </c>
      <c r="R18">
        <f t="shared" si="11"/>
        <v>8.2859848484848495E-2</v>
      </c>
      <c r="S18">
        <f t="shared" si="12"/>
        <v>2566.6666666667279</v>
      </c>
      <c r="T18">
        <f t="shared" si="13"/>
        <v>0</v>
      </c>
      <c r="U18">
        <f t="shared" si="14"/>
        <v>7.2190527499099627E-2</v>
      </c>
      <c r="V18">
        <f t="shared" si="15"/>
        <v>8.2389053891184588E-2</v>
      </c>
      <c r="W18">
        <f t="shared" si="16"/>
        <v>2.6749692821812544E-6</v>
      </c>
      <c r="AA18">
        <f t="shared" si="17"/>
        <v>0.87123653758913366</v>
      </c>
    </row>
    <row r="19" spans="4:27" x14ac:dyDescent="0.25">
      <c r="D19">
        <v>6</v>
      </c>
      <c r="E19">
        <f t="shared" si="0"/>
        <v>64</v>
      </c>
      <c r="F19">
        <v>5</v>
      </c>
      <c r="G19">
        <f t="shared" si="18"/>
        <v>32</v>
      </c>
      <c r="H19">
        <f t="shared" si="2"/>
        <v>420</v>
      </c>
      <c r="I19">
        <f t="shared" si="3"/>
        <v>6.5625</v>
      </c>
      <c r="J19">
        <f t="shared" si="4"/>
        <v>304</v>
      </c>
      <c r="K19">
        <f t="shared" si="5"/>
        <v>9.5</v>
      </c>
      <c r="L19">
        <f t="shared" si="6"/>
        <v>127680</v>
      </c>
      <c r="M19">
        <f t="shared" si="7"/>
        <v>62.34375</v>
      </c>
      <c r="N19" s="4">
        <f t="shared" si="19"/>
        <v>5.6818181818181143E-3</v>
      </c>
      <c r="P19">
        <f t="shared" si="10"/>
        <v>4.4318181818181888E-2</v>
      </c>
      <c r="Q19">
        <f t="shared" si="9"/>
        <v>11</v>
      </c>
      <c r="R19">
        <f t="shared" si="11"/>
        <v>9.0392561983471079E-2</v>
      </c>
      <c r="S19">
        <f t="shared" si="12"/>
        <v>2800.0000000000664</v>
      </c>
      <c r="T19">
        <f t="shared" si="13"/>
        <v>0</v>
      </c>
      <c r="U19">
        <f t="shared" si="14"/>
        <v>7.8753302726290497E-2</v>
      </c>
      <c r="V19">
        <f t="shared" si="15"/>
        <v>8.9878967881292265E-2</v>
      </c>
      <c r="W19">
        <f t="shared" si="16"/>
        <v>2.9181483078340954E-6</v>
      </c>
      <c r="AA19">
        <f t="shared" si="17"/>
        <v>0.87123653758913366</v>
      </c>
    </row>
    <row r="20" spans="4:27" x14ac:dyDescent="0.25">
      <c r="D20">
        <v>6</v>
      </c>
      <c r="E20">
        <f t="shared" si="0"/>
        <v>64</v>
      </c>
      <c r="F20">
        <v>4</v>
      </c>
      <c r="G20">
        <f t="shared" si="18"/>
        <v>16</v>
      </c>
      <c r="H20">
        <f t="shared" si="2"/>
        <v>420</v>
      </c>
      <c r="I20">
        <f t="shared" si="3"/>
        <v>6.5625</v>
      </c>
      <c r="J20">
        <f t="shared" si="4"/>
        <v>152</v>
      </c>
      <c r="K20">
        <f t="shared" si="5"/>
        <v>9.5</v>
      </c>
      <c r="L20">
        <f t="shared" si="6"/>
        <v>63840</v>
      </c>
      <c r="M20">
        <f t="shared" si="7"/>
        <v>62.34375</v>
      </c>
      <c r="N20" s="4">
        <f t="shared" si="19"/>
        <v>5.6818181818181143E-3</v>
      </c>
      <c r="P20">
        <f t="shared" si="10"/>
        <v>4.4318181818181888E-2</v>
      </c>
      <c r="Q20">
        <f t="shared" si="9"/>
        <v>10</v>
      </c>
      <c r="R20">
        <f t="shared" si="11"/>
        <v>9.9431818181818191E-2</v>
      </c>
      <c r="S20">
        <f t="shared" si="12"/>
        <v>3080.0000000000732</v>
      </c>
      <c r="T20">
        <f t="shared" si="13"/>
        <v>0</v>
      </c>
      <c r="U20">
        <f t="shared" si="14"/>
        <v>8.6628632998919541E-2</v>
      </c>
      <c r="V20">
        <f t="shared" si="15"/>
        <v>9.8866864669421503E-2</v>
      </c>
      <c r="W20">
        <f t="shared" si="16"/>
        <v>3.2099631386175049E-6</v>
      </c>
      <c r="AA20">
        <f t="shared" si="17"/>
        <v>0.87123653758913366</v>
      </c>
    </row>
    <row r="21" spans="4:27" x14ac:dyDescent="0.25">
      <c r="D21">
        <v>6</v>
      </c>
      <c r="E21">
        <f t="shared" si="0"/>
        <v>64</v>
      </c>
      <c r="F21">
        <v>3</v>
      </c>
      <c r="G21">
        <f t="shared" si="18"/>
        <v>8</v>
      </c>
      <c r="H21">
        <f t="shared" si="2"/>
        <v>420</v>
      </c>
      <c r="I21">
        <f t="shared" si="3"/>
        <v>6.5625</v>
      </c>
      <c r="J21">
        <f t="shared" si="4"/>
        <v>76</v>
      </c>
      <c r="K21">
        <f t="shared" si="5"/>
        <v>9.5</v>
      </c>
      <c r="L21">
        <f t="shared" si="6"/>
        <v>31920</v>
      </c>
      <c r="M21">
        <f t="shared" si="7"/>
        <v>62.34375</v>
      </c>
      <c r="N21" s="4">
        <f t="shared" si="19"/>
        <v>5.6818181818181143E-3</v>
      </c>
      <c r="P21">
        <f t="shared" si="10"/>
        <v>4.4318181818181888E-2</v>
      </c>
      <c r="Q21">
        <f t="shared" si="9"/>
        <v>9</v>
      </c>
      <c r="R21">
        <f t="shared" si="11"/>
        <v>0.11047979797979798</v>
      </c>
      <c r="S21">
        <f t="shared" si="12"/>
        <v>3422.2222222223036</v>
      </c>
      <c r="T21">
        <f t="shared" si="13"/>
        <v>0</v>
      </c>
      <c r="U21">
        <f t="shared" si="14"/>
        <v>9.6254036665466156E-2</v>
      </c>
      <c r="V21">
        <f t="shared" si="15"/>
        <v>0.10985207185491278</v>
      </c>
      <c r="W21">
        <f t="shared" si="16"/>
        <v>3.5666257095750052E-6</v>
      </c>
      <c r="AA21">
        <f t="shared" si="17"/>
        <v>0.87123653758913366</v>
      </c>
    </row>
    <row r="22" spans="4:27" x14ac:dyDescent="0.25">
      <c r="D22">
        <v>6</v>
      </c>
      <c r="E22">
        <f t="shared" si="0"/>
        <v>64</v>
      </c>
      <c r="F22">
        <v>2</v>
      </c>
      <c r="G22">
        <f t="shared" si="18"/>
        <v>4</v>
      </c>
      <c r="H22">
        <f t="shared" si="2"/>
        <v>420</v>
      </c>
      <c r="I22">
        <f t="shared" si="3"/>
        <v>6.5625</v>
      </c>
      <c r="J22">
        <f t="shared" si="4"/>
        <v>36</v>
      </c>
      <c r="K22">
        <f t="shared" si="5"/>
        <v>9</v>
      </c>
      <c r="L22">
        <f t="shared" si="6"/>
        <v>15120</v>
      </c>
      <c r="M22">
        <f t="shared" si="7"/>
        <v>59.0625</v>
      </c>
      <c r="N22" s="4">
        <f t="shared" si="19"/>
        <v>5.8014354066985581E-2</v>
      </c>
      <c r="P22">
        <f t="shared" si="10"/>
        <v>8.0143540669855781E-3</v>
      </c>
      <c r="Q22">
        <f t="shared" si="9"/>
        <v>8</v>
      </c>
      <c r="R22">
        <f t="shared" si="11"/>
        <v>0</v>
      </c>
      <c r="S22">
        <f t="shared" si="12"/>
        <v>0</v>
      </c>
      <c r="T22">
        <f t="shared" si="13"/>
        <v>0</v>
      </c>
      <c r="U22">
        <f t="shared" si="14"/>
        <v>0</v>
      </c>
      <c r="V22">
        <f t="shared" si="15"/>
        <v>0</v>
      </c>
      <c r="W22">
        <f t="shared" si="16"/>
        <v>0</v>
      </c>
      <c r="AA22">
        <f t="shared" si="17"/>
        <v>0.24476982290884858</v>
      </c>
    </row>
    <row r="23" spans="4:27" x14ac:dyDescent="0.25">
      <c r="D23">
        <v>5</v>
      </c>
      <c r="E23">
        <f t="shared" si="0"/>
        <v>32</v>
      </c>
      <c r="F23">
        <v>8</v>
      </c>
      <c r="G23">
        <f t="shared" si="18"/>
        <v>256</v>
      </c>
      <c r="H23">
        <f t="shared" si="2"/>
        <v>208</v>
      </c>
      <c r="I23">
        <f t="shared" si="3"/>
        <v>6.5</v>
      </c>
      <c r="J23">
        <f t="shared" si="4"/>
        <v>2432</v>
      </c>
      <c r="K23">
        <f t="shared" si="5"/>
        <v>9.5</v>
      </c>
      <c r="L23">
        <f t="shared" si="6"/>
        <v>505856</v>
      </c>
      <c r="M23">
        <f t="shared" si="7"/>
        <v>61.75</v>
      </c>
      <c r="N23" s="4">
        <f t="shared" si="19"/>
        <v>1.5151515151515084E-2</v>
      </c>
      <c r="P23">
        <f t="shared" si="10"/>
        <v>3.484848484848492E-2</v>
      </c>
      <c r="Q23">
        <f t="shared" si="9"/>
        <v>13</v>
      </c>
      <c r="R23">
        <f t="shared" si="11"/>
        <v>7.575757575757576E-2</v>
      </c>
      <c r="S23">
        <f t="shared" si="12"/>
        <v>330.00000000000296</v>
      </c>
      <c r="T23">
        <f t="shared" si="13"/>
        <v>0</v>
      </c>
      <c r="U23">
        <f t="shared" si="14"/>
        <v>5.245524863253808E-2</v>
      </c>
      <c r="V23">
        <f t="shared" si="15"/>
        <v>7.4609733700642805E-2</v>
      </c>
      <c r="W23">
        <f t="shared" si="16"/>
        <v>1.7391546317165999E-5</v>
      </c>
      <c r="AA23">
        <f t="shared" si="17"/>
        <v>0.69240928194950269</v>
      </c>
    </row>
    <row r="24" spans="4:27" x14ac:dyDescent="0.25">
      <c r="D24">
        <v>5</v>
      </c>
      <c r="E24">
        <f t="shared" si="0"/>
        <v>32</v>
      </c>
      <c r="F24">
        <v>7</v>
      </c>
      <c r="G24">
        <f t="shared" si="18"/>
        <v>128</v>
      </c>
      <c r="H24">
        <f t="shared" si="2"/>
        <v>208</v>
      </c>
      <c r="I24">
        <f t="shared" si="3"/>
        <v>6.5</v>
      </c>
      <c r="J24">
        <f t="shared" si="4"/>
        <v>1216</v>
      </c>
      <c r="K24">
        <f t="shared" si="5"/>
        <v>9.5</v>
      </c>
      <c r="L24">
        <f t="shared" si="6"/>
        <v>252928</v>
      </c>
      <c r="M24">
        <f t="shared" si="7"/>
        <v>61.75</v>
      </c>
      <c r="N24" s="4">
        <f t="shared" si="19"/>
        <v>1.5151515151515084E-2</v>
      </c>
      <c r="P24">
        <f t="shared" si="10"/>
        <v>3.484848484848492E-2</v>
      </c>
      <c r="Q24">
        <f t="shared" si="9"/>
        <v>12</v>
      </c>
      <c r="R24">
        <f t="shared" si="11"/>
        <v>8.2070707070707072E-2</v>
      </c>
      <c r="S24">
        <f t="shared" si="12"/>
        <v>357.50000000000318</v>
      </c>
      <c r="T24">
        <f t="shared" si="13"/>
        <v>0</v>
      </c>
      <c r="U24">
        <f t="shared" si="14"/>
        <v>5.6826519351916259E-2</v>
      </c>
      <c r="V24">
        <f t="shared" si="15"/>
        <v>8.0827211509029703E-2</v>
      </c>
      <c r="W24">
        <f t="shared" si="16"/>
        <v>1.8840841843596497E-5</v>
      </c>
      <c r="AA24">
        <f t="shared" si="17"/>
        <v>0.69240928194950269</v>
      </c>
    </row>
    <row r="25" spans="4:27" x14ac:dyDescent="0.25">
      <c r="D25">
        <v>5</v>
      </c>
      <c r="E25">
        <f t="shared" si="0"/>
        <v>32</v>
      </c>
      <c r="F25">
        <v>6</v>
      </c>
      <c r="G25">
        <f t="shared" si="18"/>
        <v>64</v>
      </c>
      <c r="H25">
        <f t="shared" si="2"/>
        <v>208</v>
      </c>
      <c r="I25">
        <f t="shared" si="3"/>
        <v>6.5</v>
      </c>
      <c r="J25">
        <f t="shared" si="4"/>
        <v>608</v>
      </c>
      <c r="K25">
        <f t="shared" si="5"/>
        <v>9.5</v>
      </c>
      <c r="L25">
        <f t="shared" si="6"/>
        <v>126464</v>
      </c>
      <c r="M25">
        <f t="shared" si="7"/>
        <v>61.75</v>
      </c>
      <c r="N25" s="4">
        <f t="shared" si="19"/>
        <v>1.5151515151515084E-2</v>
      </c>
      <c r="P25">
        <f t="shared" si="10"/>
        <v>3.484848484848492E-2</v>
      </c>
      <c r="Q25">
        <f t="shared" si="9"/>
        <v>11</v>
      </c>
      <c r="R25">
        <f t="shared" si="11"/>
        <v>8.9531680440771352E-2</v>
      </c>
      <c r="S25">
        <f t="shared" si="12"/>
        <v>390.00000000000347</v>
      </c>
      <c r="T25">
        <f t="shared" si="13"/>
        <v>0</v>
      </c>
      <c r="U25">
        <f t="shared" si="14"/>
        <v>6.1992566565726825E-2</v>
      </c>
      <c r="V25">
        <f t="shared" si="15"/>
        <v>8.8175139828032392E-2</v>
      </c>
      <c r="W25">
        <f t="shared" si="16"/>
        <v>2.0553645647559814E-5</v>
      </c>
      <c r="AA25">
        <f t="shared" si="17"/>
        <v>0.69240928194950269</v>
      </c>
    </row>
    <row r="26" spans="4:27" x14ac:dyDescent="0.25">
      <c r="D26">
        <v>5</v>
      </c>
      <c r="E26">
        <f t="shared" si="0"/>
        <v>32</v>
      </c>
      <c r="F26">
        <v>5</v>
      </c>
      <c r="G26">
        <f t="shared" si="18"/>
        <v>32</v>
      </c>
      <c r="H26">
        <f t="shared" si="2"/>
        <v>208</v>
      </c>
      <c r="I26">
        <f t="shared" si="3"/>
        <v>6.5</v>
      </c>
      <c r="J26">
        <f t="shared" si="4"/>
        <v>304</v>
      </c>
      <c r="K26">
        <f t="shared" si="5"/>
        <v>9.5</v>
      </c>
      <c r="L26">
        <f t="shared" si="6"/>
        <v>63232</v>
      </c>
      <c r="M26">
        <f t="shared" si="7"/>
        <v>61.75</v>
      </c>
      <c r="N26" s="4">
        <f t="shared" si="19"/>
        <v>1.5151515151515084E-2</v>
      </c>
      <c r="P26">
        <f t="shared" si="10"/>
        <v>3.484848484848492E-2</v>
      </c>
      <c r="Q26">
        <f t="shared" si="9"/>
        <v>10</v>
      </c>
      <c r="R26">
        <f t="shared" si="11"/>
        <v>9.8484848484848481E-2</v>
      </c>
      <c r="S26">
        <f t="shared" si="12"/>
        <v>429.00000000000381</v>
      </c>
      <c r="T26">
        <f t="shared" si="13"/>
        <v>0</v>
      </c>
      <c r="U26">
        <f t="shared" si="14"/>
        <v>6.8191823222299511E-2</v>
      </c>
      <c r="V26">
        <f t="shared" si="15"/>
        <v>9.6992653810835633E-2</v>
      </c>
      <c r="W26">
        <f t="shared" si="16"/>
        <v>2.2609010212315795E-5</v>
      </c>
      <c r="AA26">
        <f t="shared" si="17"/>
        <v>0.69240928194950269</v>
      </c>
    </row>
    <row r="27" spans="4:27" x14ac:dyDescent="0.25">
      <c r="D27">
        <v>5</v>
      </c>
      <c r="E27">
        <f t="shared" si="0"/>
        <v>32</v>
      </c>
      <c r="F27">
        <v>4</v>
      </c>
      <c r="G27">
        <f t="shared" si="18"/>
        <v>16</v>
      </c>
      <c r="H27">
        <f t="shared" si="2"/>
        <v>208</v>
      </c>
      <c r="I27">
        <f t="shared" si="3"/>
        <v>6.5</v>
      </c>
      <c r="J27">
        <f t="shared" si="4"/>
        <v>152</v>
      </c>
      <c r="K27">
        <f t="shared" si="5"/>
        <v>9.5</v>
      </c>
      <c r="L27">
        <f t="shared" si="6"/>
        <v>31616</v>
      </c>
      <c r="M27">
        <f t="shared" si="7"/>
        <v>61.75</v>
      </c>
      <c r="N27" s="4">
        <f t="shared" si="19"/>
        <v>1.5151515151515084E-2</v>
      </c>
      <c r="P27">
        <f t="shared" si="10"/>
        <v>3.484848484848492E-2</v>
      </c>
      <c r="Q27">
        <f t="shared" si="9"/>
        <v>9</v>
      </c>
      <c r="R27">
        <f t="shared" si="11"/>
        <v>0.10942760942760943</v>
      </c>
      <c r="S27">
        <f t="shared" si="12"/>
        <v>476.66666666667089</v>
      </c>
      <c r="T27">
        <f t="shared" si="13"/>
        <v>0</v>
      </c>
      <c r="U27">
        <f t="shared" si="14"/>
        <v>7.5768692469221674E-2</v>
      </c>
      <c r="V27">
        <f t="shared" si="15"/>
        <v>0.10776961534537292</v>
      </c>
      <c r="W27">
        <f t="shared" si="16"/>
        <v>2.5121122458128665E-5</v>
      </c>
      <c r="AA27">
        <f t="shared" si="17"/>
        <v>0.69240928194950269</v>
      </c>
    </row>
    <row r="28" spans="4:27" x14ac:dyDescent="0.25">
      <c r="D28">
        <v>5</v>
      </c>
      <c r="E28">
        <f t="shared" si="0"/>
        <v>32</v>
      </c>
      <c r="F28">
        <v>3</v>
      </c>
      <c r="G28">
        <f t="shared" si="18"/>
        <v>8</v>
      </c>
      <c r="H28">
        <f t="shared" si="2"/>
        <v>208</v>
      </c>
      <c r="I28">
        <f t="shared" si="3"/>
        <v>6.5</v>
      </c>
      <c r="J28">
        <f t="shared" si="4"/>
        <v>76</v>
      </c>
      <c r="K28">
        <f t="shared" si="5"/>
        <v>9.5</v>
      </c>
      <c r="L28">
        <f t="shared" si="6"/>
        <v>15808</v>
      </c>
      <c r="M28">
        <f t="shared" si="7"/>
        <v>61.75</v>
      </c>
      <c r="N28" s="4">
        <f t="shared" si="19"/>
        <v>1.5151515151515084E-2</v>
      </c>
      <c r="P28">
        <f t="shared" si="10"/>
        <v>3.484848484848492E-2</v>
      </c>
      <c r="Q28">
        <f t="shared" si="9"/>
        <v>8</v>
      </c>
      <c r="R28">
        <f t="shared" si="11"/>
        <v>0.12310606060606061</v>
      </c>
      <c r="S28">
        <f t="shared" si="12"/>
        <v>536.25000000000477</v>
      </c>
      <c r="T28">
        <f t="shared" si="13"/>
        <v>0</v>
      </c>
      <c r="U28">
        <f t="shared" si="14"/>
        <v>8.5239779027874385E-2</v>
      </c>
      <c r="V28">
        <f t="shared" si="15"/>
        <v>0.12124081726354455</v>
      </c>
      <c r="W28">
        <f t="shared" si="16"/>
        <v>2.8261262765394746E-5</v>
      </c>
      <c r="AA28">
        <f t="shared" si="17"/>
        <v>0.69240928194950269</v>
      </c>
    </row>
    <row r="29" spans="4:27" x14ac:dyDescent="0.25">
      <c r="D29">
        <v>5</v>
      </c>
      <c r="E29">
        <f t="shared" si="0"/>
        <v>32</v>
      </c>
      <c r="F29">
        <v>2</v>
      </c>
      <c r="G29">
        <f t="shared" si="18"/>
        <v>4</v>
      </c>
      <c r="H29">
        <f t="shared" si="2"/>
        <v>208</v>
      </c>
      <c r="I29">
        <f t="shared" si="3"/>
        <v>6.5</v>
      </c>
      <c r="J29">
        <f t="shared" si="4"/>
        <v>36</v>
      </c>
      <c r="K29">
        <f t="shared" si="5"/>
        <v>9</v>
      </c>
      <c r="L29">
        <f t="shared" si="6"/>
        <v>7488</v>
      </c>
      <c r="M29">
        <f t="shared" si="7"/>
        <v>58.5</v>
      </c>
      <c r="N29" s="4">
        <f t="shared" si="19"/>
        <v>6.6985645933014287E-2</v>
      </c>
      <c r="P29">
        <f t="shared" si="10"/>
        <v>1.6985645933014284E-2</v>
      </c>
      <c r="Q29">
        <f t="shared" si="9"/>
        <v>7</v>
      </c>
      <c r="R29">
        <f t="shared" si="11"/>
        <v>0</v>
      </c>
      <c r="S29">
        <f t="shared" si="12"/>
        <v>0</v>
      </c>
      <c r="T29">
        <f t="shared" si="13"/>
        <v>0</v>
      </c>
      <c r="U29">
        <f t="shared" si="14"/>
        <v>0</v>
      </c>
      <c r="V29">
        <f t="shared" si="15"/>
        <v>0</v>
      </c>
      <c r="W29">
        <f t="shared" si="16"/>
        <v>0</v>
      </c>
      <c r="AA29">
        <f t="shared" si="17"/>
        <v>0.19689554750360552</v>
      </c>
    </row>
    <row r="30" spans="4:27" x14ac:dyDescent="0.25">
      <c r="D30">
        <v>4</v>
      </c>
      <c r="E30">
        <f t="shared" si="0"/>
        <v>16</v>
      </c>
      <c r="F30">
        <v>8</v>
      </c>
      <c r="G30">
        <f t="shared" si="18"/>
        <v>256</v>
      </c>
      <c r="H30">
        <f t="shared" si="2"/>
        <v>104</v>
      </c>
      <c r="I30">
        <f t="shared" si="3"/>
        <v>6.5</v>
      </c>
      <c r="J30">
        <f t="shared" si="4"/>
        <v>2432</v>
      </c>
      <c r="K30">
        <f t="shared" si="5"/>
        <v>9.5</v>
      </c>
      <c r="L30">
        <f t="shared" si="6"/>
        <v>252928</v>
      </c>
      <c r="M30">
        <f t="shared" si="7"/>
        <v>61.75</v>
      </c>
      <c r="N30" s="4">
        <f t="shared" si="19"/>
        <v>1.5151515151515084E-2</v>
      </c>
      <c r="P30">
        <f t="shared" si="10"/>
        <v>3.484848484848492E-2</v>
      </c>
      <c r="Q30">
        <f t="shared" si="9"/>
        <v>12</v>
      </c>
      <c r="R30">
        <f t="shared" si="11"/>
        <v>8.2070707070707072E-2</v>
      </c>
      <c r="S30">
        <f t="shared" si="12"/>
        <v>357.50000000000318</v>
      </c>
      <c r="T30">
        <f t="shared" si="13"/>
        <v>0</v>
      </c>
      <c r="U30">
        <f t="shared" si="14"/>
        <v>5.6826519351916259E-2</v>
      </c>
      <c r="V30">
        <f t="shared" si="15"/>
        <v>8.0827211509029703E-2</v>
      </c>
      <c r="W30">
        <f t="shared" si="16"/>
        <v>1.8840841843596497E-5</v>
      </c>
      <c r="AA30">
        <f t="shared" si="17"/>
        <v>0.69240928194950269</v>
      </c>
    </row>
    <row r="31" spans="4:27" x14ac:dyDescent="0.25">
      <c r="D31">
        <v>4</v>
      </c>
      <c r="E31">
        <f t="shared" si="0"/>
        <v>16</v>
      </c>
      <c r="F31">
        <v>7</v>
      </c>
      <c r="G31">
        <f t="shared" si="18"/>
        <v>128</v>
      </c>
      <c r="H31">
        <f t="shared" si="2"/>
        <v>104</v>
      </c>
      <c r="I31">
        <f t="shared" si="3"/>
        <v>6.5</v>
      </c>
      <c r="J31">
        <f t="shared" si="4"/>
        <v>1216</v>
      </c>
      <c r="K31">
        <f t="shared" si="5"/>
        <v>9.5</v>
      </c>
      <c r="L31">
        <f t="shared" si="6"/>
        <v>126464</v>
      </c>
      <c r="M31">
        <f t="shared" si="7"/>
        <v>61.75</v>
      </c>
      <c r="N31" s="4">
        <f t="shared" si="19"/>
        <v>1.5151515151515084E-2</v>
      </c>
      <c r="P31">
        <f t="shared" si="10"/>
        <v>3.484848484848492E-2</v>
      </c>
      <c r="Q31">
        <f t="shared" si="9"/>
        <v>11</v>
      </c>
      <c r="R31">
        <f t="shared" si="11"/>
        <v>8.9531680440771352E-2</v>
      </c>
      <c r="S31">
        <f t="shared" si="12"/>
        <v>390.00000000000347</v>
      </c>
      <c r="T31">
        <f t="shared" si="13"/>
        <v>0</v>
      </c>
      <c r="U31">
        <f t="shared" si="14"/>
        <v>6.1992566565726825E-2</v>
      </c>
      <c r="V31">
        <f t="shared" si="15"/>
        <v>8.8175139828032392E-2</v>
      </c>
      <c r="W31">
        <f t="shared" si="16"/>
        <v>2.0553645647559814E-5</v>
      </c>
      <c r="AA31">
        <f t="shared" si="17"/>
        <v>0.69240928194950269</v>
      </c>
    </row>
    <row r="32" spans="4:27" x14ac:dyDescent="0.25">
      <c r="D32">
        <v>4</v>
      </c>
      <c r="E32">
        <f t="shared" si="0"/>
        <v>16</v>
      </c>
      <c r="F32">
        <v>6</v>
      </c>
      <c r="G32">
        <f t="shared" si="18"/>
        <v>64</v>
      </c>
      <c r="H32">
        <f t="shared" si="2"/>
        <v>104</v>
      </c>
      <c r="I32">
        <f t="shared" si="3"/>
        <v>6.5</v>
      </c>
      <c r="J32">
        <f t="shared" si="4"/>
        <v>608</v>
      </c>
      <c r="K32">
        <f t="shared" si="5"/>
        <v>9.5</v>
      </c>
      <c r="L32">
        <f t="shared" si="6"/>
        <v>63232</v>
      </c>
      <c r="M32">
        <f t="shared" si="7"/>
        <v>61.75</v>
      </c>
      <c r="N32" s="4">
        <f t="shared" si="19"/>
        <v>1.5151515151515084E-2</v>
      </c>
      <c r="P32">
        <f t="shared" si="10"/>
        <v>3.484848484848492E-2</v>
      </c>
      <c r="Q32">
        <f t="shared" si="9"/>
        <v>10</v>
      </c>
      <c r="R32">
        <f t="shared" si="11"/>
        <v>9.8484848484848481E-2</v>
      </c>
      <c r="S32">
        <f t="shared" si="12"/>
        <v>429.00000000000381</v>
      </c>
      <c r="T32">
        <f t="shared" si="13"/>
        <v>0</v>
      </c>
      <c r="U32">
        <f t="shared" si="14"/>
        <v>6.8191823222299511E-2</v>
      </c>
      <c r="V32">
        <f t="shared" si="15"/>
        <v>9.6992653810835633E-2</v>
      </c>
      <c r="W32">
        <f t="shared" si="16"/>
        <v>2.2609010212315795E-5</v>
      </c>
      <c r="AA32">
        <f t="shared" si="17"/>
        <v>0.69240928194950269</v>
      </c>
    </row>
    <row r="33" spans="4:27" x14ac:dyDescent="0.25">
      <c r="D33">
        <v>4</v>
      </c>
      <c r="E33">
        <f t="shared" si="0"/>
        <v>16</v>
      </c>
      <c r="F33">
        <v>5</v>
      </c>
      <c r="G33">
        <f t="shared" si="18"/>
        <v>32</v>
      </c>
      <c r="H33">
        <f t="shared" si="2"/>
        <v>104</v>
      </c>
      <c r="I33">
        <f t="shared" si="3"/>
        <v>6.5</v>
      </c>
      <c r="J33">
        <f t="shared" si="4"/>
        <v>304</v>
      </c>
      <c r="K33">
        <f t="shared" si="5"/>
        <v>9.5</v>
      </c>
      <c r="L33">
        <f t="shared" si="6"/>
        <v>31616</v>
      </c>
      <c r="M33">
        <f t="shared" si="7"/>
        <v>61.75</v>
      </c>
      <c r="N33" s="4">
        <f t="shared" si="19"/>
        <v>1.5151515151515084E-2</v>
      </c>
      <c r="P33">
        <f t="shared" si="10"/>
        <v>3.484848484848492E-2</v>
      </c>
      <c r="Q33">
        <f t="shared" si="9"/>
        <v>9</v>
      </c>
      <c r="R33">
        <f t="shared" si="11"/>
        <v>0.10942760942760943</v>
      </c>
      <c r="S33">
        <f t="shared" si="12"/>
        <v>476.66666666667089</v>
      </c>
      <c r="T33">
        <f t="shared" si="13"/>
        <v>0</v>
      </c>
      <c r="U33">
        <f t="shared" si="14"/>
        <v>7.5768692469221674E-2</v>
      </c>
      <c r="V33">
        <f t="shared" si="15"/>
        <v>0.10776961534537292</v>
      </c>
      <c r="W33">
        <f t="shared" si="16"/>
        <v>2.5121122458128665E-5</v>
      </c>
      <c r="AA33">
        <f t="shared" si="17"/>
        <v>0.69240928194950269</v>
      </c>
    </row>
    <row r="34" spans="4:27" x14ac:dyDescent="0.25">
      <c r="D34">
        <v>4</v>
      </c>
      <c r="E34">
        <f t="shared" ref="E34:E50" si="20">POWER(2,D34)</f>
        <v>16</v>
      </c>
      <c r="F34">
        <v>4</v>
      </c>
      <c r="G34">
        <f t="shared" si="18"/>
        <v>16</v>
      </c>
      <c r="H34">
        <f t="shared" ref="H34:H50" si="21">FLOOR($A$2*E34,4)</f>
        <v>104</v>
      </c>
      <c r="I34">
        <f t="shared" ref="I34:I50" si="22">H34/E34</f>
        <v>6.5</v>
      </c>
      <c r="J34">
        <f t="shared" ref="J34:J50" si="23">FLOOR($B$2*G34,4)</f>
        <v>152</v>
      </c>
      <c r="K34">
        <f t="shared" ref="K34:K50" si="24">J34/G34</f>
        <v>9.5</v>
      </c>
      <c r="L34">
        <f t="shared" ref="L34:L50" si="25">H34*J34</f>
        <v>15808</v>
      </c>
      <c r="M34">
        <f t="shared" ref="M34:M50" si="26">L34/POWER(2,(D34+F34))</f>
        <v>61.75</v>
      </c>
      <c r="N34" s="4">
        <f t="shared" si="19"/>
        <v>1.5151515151515084E-2</v>
      </c>
      <c r="P34">
        <f t="shared" si="10"/>
        <v>3.484848484848492E-2</v>
      </c>
      <c r="Q34">
        <f t="shared" ref="Q34:Q50" si="27">D34+F34</f>
        <v>8</v>
      </c>
      <c r="R34">
        <f t="shared" ref="R34:R50" si="28" xml:space="preserve"> reward(N34, $O$2, Q34)</f>
        <v>0.12310606060606061</v>
      </c>
      <c r="S34">
        <f t="shared" si="12"/>
        <v>536.25000000000477</v>
      </c>
      <c r="T34">
        <f t="shared" si="13"/>
        <v>0</v>
      </c>
      <c r="U34">
        <f t="shared" si="14"/>
        <v>8.5239779027874385E-2</v>
      </c>
      <c r="V34">
        <f t="shared" ref="V34:V50" si="29">R34 - R34*N34</f>
        <v>0.12124081726354455</v>
      </c>
      <c r="W34">
        <f t="shared" ref="W34:W50" si="30">R34* (N34 * N34)</f>
        <v>2.8261262765394746E-5</v>
      </c>
      <c r="AA34">
        <f t="shared" si="17"/>
        <v>0.69240928194950269</v>
      </c>
    </row>
    <row r="35" spans="4:27" x14ac:dyDescent="0.25">
      <c r="D35">
        <v>4</v>
      </c>
      <c r="E35">
        <f t="shared" si="20"/>
        <v>16</v>
      </c>
      <c r="F35">
        <v>3</v>
      </c>
      <c r="G35">
        <f t="shared" si="18"/>
        <v>8</v>
      </c>
      <c r="H35">
        <f t="shared" si="21"/>
        <v>104</v>
      </c>
      <c r="I35">
        <f t="shared" si="22"/>
        <v>6.5</v>
      </c>
      <c r="J35">
        <f t="shared" si="23"/>
        <v>76</v>
      </c>
      <c r="K35">
        <f t="shared" si="24"/>
        <v>9.5</v>
      </c>
      <c r="L35">
        <f t="shared" si="25"/>
        <v>7904</v>
      </c>
      <c r="M35">
        <f t="shared" si="26"/>
        <v>61.75</v>
      </c>
      <c r="N35" s="4">
        <f t="shared" si="19"/>
        <v>1.5151515151515084E-2</v>
      </c>
      <c r="P35">
        <f t="shared" si="10"/>
        <v>3.484848484848492E-2</v>
      </c>
      <c r="Q35">
        <f t="shared" si="27"/>
        <v>7</v>
      </c>
      <c r="R35">
        <f t="shared" si="28"/>
        <v>0.1406926406926407</v>
      </c>
      <c r="S35">
        <f t="shared" si="12"/>
        <v>612.85714285714835</v>
      </c>
      <c r="T35">
        <f t="shared" si="13"/>
        <v>0</v>
      </c>
      <c r="U35">
        <f t="shared" si="14"/>
        <v>9.7416890317570726E-2</v>
      </c>
      <c r="V35">
        <f t="shared" si="29"/>
        <v>0.13856093401547948</v>
      </c>
      <c r="W35">
        <f t="shared" si="30"/>
        <v>3.2298586017593997E-5</v>
      </c>
      <c r="AA35">
        <f t="shared" si="17"/>
        <v>0.69240928194950269</v>
      </c>
    </row>
    <row r="36" spans="4:27" x14ac:dyDescent="0.25">
      <c r="D36">
        <v>4</v>
      </c>
      <c r="E36">
        <f t="shared" si="20"/>
        <v>16</v>
      </c>
      <c r="F36">
        <v>2</v>
      </c>
      <c r="G36">
        <f t="shared" si="18"/>
        <v>4</v>
      </c>
      <c r="H36">
        <f t="shared" si="21"/>
        <v>104</v>
      </c>
      <c r="I36">
        <f t="shared" si="22"/>
        <v>6.5</v>
      </c>
      <c r="J36">
        <f t="shared" si="23"/>
        <v>36</v>
      </c>
      <c r="K36">
        <f t="shared" si="24"/>
        <v>9</v>
      </c>
      <c r="L36">
        <f t="shared" si="25"/>
        <v>3744</v>
      </c>
      <c r="M36">
        <f t="shared" si="26"/>
        <v>58.5</v>
      </c>
      <c r="N36" s="4">
        <f t="shared" si="19"/>
        <v>6.6985645933014287E-2</v>
      </c>
      <c r="P36">
        <f t="shared" si="10"/>
        <v>1.6985645933014284E-2</v>
      </c>
      <c r="Q36">
        <f t="shared" si="27"/>
        <v>6</v>
      </c>
      <c r="R36">
        <f t="shared" si="28"/>
        <v>0</v>
      </c>
      <c r="S36">
        <f t="shared" si="12"/>
        <v>0</v>
      </c>
      <c r="T36">
        <f t="shared" si="13"/>
        <v>0</v>
      </c>
      <c r="U36">
        <f t="shared" si="14"/>
        <v>0</v>
      </c>
      <c r="V36">
        <f t="shared" si="29"/>
        <v>0</v>
      </c>
      <c r="W36">
        <f t="shared" si="30"/>
        <v>0</v>
      </c>
      <c r="AA36">
        <f t="shared" si="17"/>
        <v>0.19689554750360552</v>
      </c>
    </row>
    <row r="37" spans="4:27" x14ac:dyDescent="0.25">
      <c r="D37">
        <v>3</v>
      </c>
      <c r="E37">
        <f t="shared" si="20"/>
        <v>8</v>
      </c>
      <c r="F37">
        <v>8</v>
      </c>
      <c r="G37">
        <f t="shared" si="18"/>
        <v>256</v>
      </c>
      <c r="H37">
        <f t="shared" si="21"/>
        <v>52</v>
      </c>
      <c r="I37">
        <f t="shared" si="22"/>
        <v>6.5</v>
      </c>
      <c r="J37">
        <f t="shared" si="23"/>
        <v>2432</v>
      </c>
      <c r="K37">
        <f t="shared" si="24"/>
        <v>9.5</v>
      </c>
      <c r="L37">
        <f t="shared" si="25"/>
        <v>126464</v>
      </c>
      <c r="M37">
        <f t="shared" si="26"/>
        <v>61.75</v>
      </c>
      <c r="N37" s="4">
        <f t="shared" si="19"/>
        <v>1.5151515151515084E-2</v>
      </c>
      <c r="P37">
        <f t="shared" si="10"/>
        <v>3.484848484848492E-2</v>
      </c>
      <c r="Q37">
        <f t="shared" si="27"/>
        <v>11</v>
      </c>
      <c r="R37">
        <f t="shared" si="28"/>
        <v>8.9531680440771352E-2</v>
      </c>
      <c r="S37">
        <f t="shared" si="12"/>
        <v>390.00000000000347</v>
      </c>
      <c r="T37">
        <f t="shared" si="13"/>
        <v>0</v>
      </c>
      <c r="U37">
        <f t="shared" si="14"/>
        <v>6.1992566565726825E-2</v>
      </c>
      <c r="V37">
        <f t="shared" si="29"/>
        <v>8.8175139828032392E-2</v>
      </c>
      <c r="W37">
        <f t="shared" si="30"/>
        <v>2.0553645647559814E-5</v>
      </c>
      <c r="AA37">
        <f t="shared" si="17"/>
        <v>0.69240928194950269</v>
      </c>
    </row>
    <row r="38" spans="4:27" x14ac:dyDescent="0.25">
      <c r="D38">
        <v>3</v>
      </c>
      <c r="E38">
        <f t="shared" si="20"/>
        <v>8</v>
      </c>
      <c r="F38">
        <v>7</v>
      </c>
      <c r="G38">
        <f t="shared" si="18"/>
        <v>128</v>
      </c>
      <c r="H38">
        <f t="shared" si="21"/>
        <v>52</v>
      </c>
      <c r="I38">
        <f t="shared" si="22"/>
        <v>6.5</v>
      </c>
      <c r="J38">
        <f t="shared" si="23"/>
        <v>1216</v>
      </c>
      <c r="K38">
        <f t="shared" si="24"/>
        <v>9.5</v>
      </c>
      <c r="L38">
        <f t="shared" si="25"/>
        <v>63232</v>
      </c>
      <c r="M38">
        <f t="shared" si="26"/>
        <v>61.75</v>
      </c>
      <c r="N38" s="4">
        <f t="shared" si="19"/>
        <v>1.5151515151515084E-2</v>
      </c>
      <c r="P38">
        <f t="shared" si="10"/>
        <v>3.484848484848492E-2</v>
      </c>
      <c r="Q38">
        <f t="shared" si="27"/>
        <v>10</v>
      </c>
      <c r="R38">
        <f t="shared" si="28"/>
        <v>9.8484848484848481E-2</v>
      </c>
      <c r="S38">
        <f t="shared" si="12"/>
        <v>429.00000000000381</v>
      </c>
      <c r="T38">
        <f t="shared" si="13"/>
        <v>0</v>
      </c>
      <c r="U38">
        <f t="shared" si="14"/>
        <v>6.8191823222299511E-2</v>
      </c>
      <c r="V38">
        <f t="shared" si="29"/>
        <v>9.6992653810835633E-2</v>
      </c>
      <c r="W38">
        <f t="shared" si="30"/>
        <v>2.2609010212315795E-5</v>
      </c>
      <c r="AA38">
        <f t="shared" si="17"/>
        <v>0.69240928194950269</v>
      </c>
    </row>
    <row r="39" spans="4:27" x14ac:dyDescent="0.25">
      <c r="D39">
        <v>3</v>
      </c>
      <c r="E39">
        <f t="shared" si="20"/>
        <v>8</v>
      </c>
      <c r="F39">
        <v>6</v>
      </c>
      <c r="G39">
        <f t="shared" si="18"/>
        <v>64</v>
      </c>
      <c r="H39">
        <f t="shared" si="21"/>
        <v>52</v>
      </c>
      <c r="I39">
        <f t="shared" si="22"/>
        <v>6.5</v>
      </c>
      <c r="J39">
        <f t="shared" si="23"/>
        <v>608</v>
      </c>
      <c r="K39">
        <f t="shared" si="24"/>
        <v>9.5</v>
      </c>
      <c r="L39">
        <f t="shared" si="25"/>
        <v>31616</v>
      </c>
      <c r="M39">
        <f t="shared" si="26"/>
        <v>61.75</v>
      </c>
      <c r="N39" s="4">
        <f t="shared" si="19"/>
        <v>1.5151515151515084E-2</v>
      </c>
      <c r="P39">
        <f t="shared" si="10"/>
        <v>3.484848484848492E-2</v>
      </c>
      <c r="Q39">
        <f t="shared" si="27"/>
        <v>9</v>
      </c>
      <c r="R39">
        <f t="shared" si="28"/>
        <v>0.10942760942760943</v>
      </c>
      <c r="S39">
        <f t="shared" si="12"/>
        <v>476.66666666667089</v>
      </c>
      <c r="T39">
        <f t="shared" si="13"/>
        <v>0</v>
      </c>
      <c r="U39">
        <f t="shared" si="14"/>
        <v>7.5768692469221674E-2</v>
      </c>
      <c r="V39">
        <f t="shared" si="29"/>
        <v>0.10776961534537292</v>
      </c>
      <c r="W39">
        <f t="shared" si="30"/>
        <v>2.5121122458128665E-5</v>
      </c>
      <c r="AA39">
        <f t="shared" si="17"/>
        <v>0.69240928194950269</v>
      </c>
    </row>
    <row r="40" spans="4:27" x14ac:dyDescent="0.25">
      <c r="D40">
        <v>3</v>
      </c>
      <c r="E40">
        <f t="shared" si="20"/>
        <v>8</v>
      </c>
      <c r="F40">
        <v>5</v>
      </c>
      <c r="G40">
        <f t="shared" si="18"/>
        <v>32</v>
      </c>
      <c r="H40">
        <f t="shared" si="21"/>
        <v>52</v>
      </c>
      <c r="I40">
        <f t="shared" si="22"/>
        <v>6.5</v>
      </c>
      <c r="J40">
        <f t="shared" si="23"/>
        <v>304</v>
      </c>
      <c r="K40">
        <f t="shared" si="24"/>
        <v>9.5</v>
      </c>
      <c r="L40">
        <f t="shared" si="25"/>
        <v>15808</v>
      </c>
      <c r="M40">
        <f t="shared" si="26"/>
        <v>61.75</v>
      </c>
      <c r="N40" s="4">
        <f t="shared" si="19"/>
        <v>1.5151515151515084E-2</v>
      </c>
      <c r="P40">
        <f t="shared" si="10"/>
        <v>3.484848484848492E-2</v>
      </c>
      <c r="Q40">
        <f t="shared" si="27"/>
        <v>8</v>
      </c>
      <c r="R40">
        <f t="shared" si="28"/>
        <v>0.12310606060606061</v>
      </c>
      <c r="S40">
        <f t="shared" si="12"/>
        <v>536.25000000000477</v>
      </c>
      <c r="T40">
        <f t="shared" si="13"/>
        <v>0</v>
      </c>
      <c r="U40">
        <f t="shared" si="14"/>
        <v>8.5239779027874385E-2</v>
      </c>
      <c r="V40">
        <f t="shared" si="29"/>
        <v>0.12124081726354455</v>
      </c>
      <c r="W40">
        <f t="shared" si="30"/>
        <v>2.8261262765394746E-5</v>
      </c>
      <c r="AA40">
        <f t="shared" si="17"/>
        <v>0.69240928194950269</v>
      </c>
    </row>
    <row r="41" spans="4:27" x14ac:dyDescent="0.25">
      <c r="D41">
        <v>3</v>
      </c>
      <c r="E41">
        <f t="shared" si="20"/>
        <v>8</v>
      </c>
      <c r="F41">
        <v>4</v>
      </c>
      <c r="G41">
        <f t="shared" si="18"/>
        <v>16</v>
      </c>
      <c r="H41">
        <f t="shared" si="21"/>
        <v>52</v>
      </c>
      <c r="I41">
        <f t="shared" si="22"/>
        <v>6.5</v>
      </c>
      <c r="J41">
        <f t="shared" si="23"/>
        <v>152</v>
      </c>
      <c r="K41">
        <f t="shared" si="24"/>
        <v>9.5</v>
      </c>
      <c r="L41">
        <f t="shared" si="25"/>
        <v>7904</v>
      </c>
      <c r="M41">
        <f t="shared" si="26"/>
        <v>61.75</v>
      </c>
      <c r="N41" s="4">
        <f t="shared" si="19"/>
        <v>1.5151515151515084E-2</v>
      </c>
      <c r="P41">
        <f t="shared" si="10"/>
        <v>3.484848484848492E-2</v>
      </c>
      <c r="Q41">
        <f t="shared" si="27"/>
        <v>7</v>
      </c>
      <c r="R41">
        <f t="shared" si="28"/>
        <v>0.1406926406926407</v>
      </c>
      <c r="S41">
        <f t="shared" si="12"/>
        <v>612.85714285714835</v>
      </c>
      <c r="T41">
        <f t="shared" si="13"/>
        <v>0</v>
      </c>
      <c r="U41">
        <f t="shared" si="14"/>
        <v>9.7416890317570726E-2</v>
      </c>
      <c r="V41">
        <f t="shared" si="29"/>
        <v>0.13856093401547948</v>
      </c>
      <c r="W41">
        <f t="shared" si="30"/>
        <v>3.2298586017593997E-5</v>
      </c>
      <c r="AA41">
        <f t="shared" si="17"/>
        <v>0.69240928194950269</v>
      </c>
    </row>
    <row r="42" spans="4:27" x14ac:dyDescent="0.25">
      <c r="D42">
        <v>3</v>
      </c>
      <c r="E42">
        <f t="shared" si="20"/>
        <v>8</v>
      </c>
      <c r="F42">
        <v>3</v>
      </c>
      <c r="G42">
        <f t="shared" si="18"/>
        <v>8</v>
      </c>
      <c r="H42">
        <f t="shared" si="21"/>
        <v>52</v>
      </c>
      <c r="I42">
        <f t="shared" si="22"/>
        <v>6.5</v>
      </c>
      <c r="J42">
        <f t="shared" si="23"/>
        <v>76</v>
      </c>
      <c r="K42">
        <f t="shared" si="24"/>
        <v>9.5</v>
      </c>
      <c r="L42">
        <f t="shared" si="25"/>
        <v>3952</v>
      </c>
      <c r="M42">
        <f t="shared" si="26"/>
        <v>61.75</v>
      </c>
      <c r="N42" s="4">
        <f t="shared" si="19"/>
        <v>1.5151515151515084E-2</v>
      </c>
      <c r="P42">
        <f t="shared" si="10"/>
        <v>3.484848484848492E-2</v>
      </c>
      <c r="Q42">
        <f t="shared" si="27"/>
        <v>6</v>
      </c>
      <c r="R42">
        <f t="shared" si="28"/>
        <v>0.16414141414141414</v>
      </c>
      <c r="S42">
        <f t="shared" si="12"/>
        <v>715.00000000000637</v>
      </c>
      <c r="T42">
        <f t="shared" si="13"/>
        <v>0</v>
      </c>
      <c r="U42">
        <f t="shared" si="14"/>
        <v>0.11365303870383252</v>
      </c>
      <c r="V42">
        <f t="shared" si="29"/>
        <v>0.16165442301805941</v>
      </c>
      <c r="W42">
        <f t="shared" si="30"/>
        <v>3.7681683687192994E-5</v>
      </c>
      <c r="AA42">
        <f t="shared" si="17"/>
        <v>0.69240928194950269</v>
      </c>
    </row>
    <row r="43" spans="4:27" x14ac:dyDescent="0.25">
      <c r="D43">
        <v>3</v>
      </c>
      <c r="E43">
        <f t="shared" si="20"/>
        <v>8</v>
      </c>
      <c r="F43">
        <v>2</v>
      </c>
      <c r="G43">
        <f t="shared" si="18"/>
        <v>4</v>
      </c>
      <c r="H43">
        <f t="shared" si="21"/>
        <v>52</v>
      </c>
      <c r="I43">
        <f t="shared" si="22"/>
        <v>6.5</v>
      </c>
      <c r="J43">
        <f t="shared" si="23"/>
        <v>36</v>
      </c>
      <c r="K43">
        <f t="shared" si="24"/>
        <v>9</v>
      </c>
      <c r="L43">
        <f t="shared" si="25"/>
        <v>1872</v>
      </c>
      <c r="M43">
        <f t="shared" si="26"/>
        <v>58.5</v>
      </c>
      <c r="N43" s="4">
        <f t="shared" si="19"/>
        <v>6.6985645933014287E-2</v>
      </c>
      <c r="P43">
        <f t="shared" si="10"/>
        <v>1.6985645933014284E-2</v>
      </c>
      <c r="Q43">
        <f t="shared" si="27"/>
        <v>5</v>
      </c>
      <c r="R43">
        <f t="shared" si="28"/>
        <v>0</v>
      </c>
      <c r="S43">
        <f t="shared" si="12"/>
        <v>0</v>
      </c>
      <c r="T43">
        <f t="shared" si="13"/>
        <v>0</v>
      </c>
      <c r="U43">
        <f t="shared" si="14"/>
        <v>0</v>
      </c>
      <c r="V43">
        <f t="shared" si="29"/>
        <v>0</v>
      </c>
      <c r="W43">
        <f t="shared" si="30"/>
        <v>0</v>
      </c>
      <c r="AA43">
        <f t="shared" si="17"/>
        <v>0.19689554750360552</v>
      </c>
    </row>
    <row r="44" spans="4:27" x14ac:dyDescent="0.25">
      <c r="D44">
        <v>2</v>
      </c>
      <c r="E44">
        <f t="shared" si="20"/>
        <v>4</v>
      </c>
      <c r="F44">
        <v>8</v>
      </c>
      <c r="G44">
        <f t="shared" si="18"/>
        <v>256</v>
      </c>
      <c r="H44">
        <f t="shared" si="21"/>
        <v>24</v>
      </c>
      <c r="I44">
        <f t="shared" si="22"/>
        <v>6</v>
      </c>
      <c r="J44">
        <f t="shared" si="23"/>
        <v>2432</v>
      </c>
      <c r="K44">
        <f t="shared" si="24"/>
        <v>9.5</v>
      </c>
      <c r="L44">
        <f t="shared" si="25"/>
        <v>58368</v>
      </c>
      <c r="M44">
        <f t="shared" si="26"/>
        <v>57</v>
      </c>
      <c r="N44" s="4">
        <f t="shared" si="19"/>
        <v>9.0909090909090842E-2</v>
      </c>
      <c r="P44">
        <f t="shared" si="10"/>
        <v>4.0909090909090839E-2</v>
      </c>
      <c r="Q44">
        <f t="shared" si="27"/>
        <v>10</v>
      </c>
      <c r="R44">
        <f t="shared" si="28"/>
        <v>0</v>
      </c>
      <c r="S44">
        <f t="shared" si="12"/>
        <v>0</v>
      </c>
      <c r="T44">
        <f t="shared" si="13"/>
        <v>0</v>
      </c>
      <c r="U44">
        <f t="shared" si="14"/>
        <v>0</v>
      </c>
      <c r="V44">
        <f t="shared" si="29"/>
        <v>0</v>
      </c>
      <c r="W44">
        <f t="shared" si="30"/>
        <v>0</v>
      </c>
      <c r="AA44">
        <f t="shared" si="17"/>
        <v>0.11019890687450283</v>
      </c>
    </row>
    <row r="45" spans="4:27" x14ac:dyDescent="0.25">
      <c r="D45">
        <v>2</v>
      </c>
      <c r="E45">
        <f t="shared" si="20"/>
        <v>4</v>
      </c>
      <c r="F45">
        <v>7</v>
      </c>
      <c r="G45">
        <f t="shared" si="18"/>
        <v>128</v>
      </c>
      <c r="H45">
        <f t="shared" si="21"/>
        <v>24</v>
      </c>
      <c r="I45">
        <f t="shared" si="22"/>
        <v>6</v>
      </c>
      <c r="J45">
        <f t="shared" si="23"/>
        <v>1216</v>
      </c>
      <c r="K45">
        <f t="shared" si="24"/>
        <v>9.5</v>
      </c>
      <c r="L45">
        <f t="shared" si="25"/>
        <v>29184</v>
      </c>
      <c r="M45">
        <f t="shared" si="26"/>
        <v>57</v>
      </c>
      <c r="N45" s="4">
        <f t="shared" si="19"/>
        <v>9.0909090909090842E-2</v>
      </c>
      <c r="P45">
        <f t="shared" si="10"/>
        <v>4.0909090909090839E-2</v>
      </c>
      <c r="Q45">
        <f t="shared" si="27"/>
        <v>9</v>
      </c>
      <c r="R45">
        <f t="shared" si="28"/>
        <v>0</v>
      </c>
      <c r="S45">
        <f t="shared" si="12"/>
        <v>0</v>
      </c>
      <c r="T45">
        <f t="shared" si="13"/>
        <v>0</v>
      </c>
      <c r="U45">
        <f t="shared" si="14"/>
        <v>0</v>
      </c>
      <c r="V45">
        <f t="shared" si="29"/>
        <v>0</v>
      </c>
      <c r="W45">
        <f t="shared" si="30"/>
        <v>0</v>
      </c>
      <c r="AA45">
        <f t="shared" si="17"/>
        <v>0.11019890687450283</v>
      </c>
    </row>
    <row r="46" spans="4:27" x14ac:dyDescent="0.25">
      <c r="D46">
        <v>2</v>
      </c>
      <c r="E46">
        <f t="shared" si="20"/>
        <v>4</v>
      </c>
      <c r="F46">
        <v>6</v>
      </c>
      <c r="G46">
        <f t="shared" si="18"/>
        <v>64</v>
      </c>
      <c r="H46">
        <f t="shared" si="21"/>
        <v>24</v>
      </c>
      <c r="I46">
        <f t="shared" si="22"/>
        <v>6</v>
      </c>
      <c r="J46">
        <f t="shared" si="23"/>
        <v>608</v>
      </c>
      <c r="K46">
        <f t="shared" si="24"/>
        <v>9.5</v>
      </c>
      <c r="L46">
        <f t="shared" si="25"/>
        <v>14592</v>
      </c>
      <c r="M46">
        <f t="shared" si="26"/>
        <v>57</v>
      </c>
      <c r="N46" s="4">
        <f t="shared" si="19"/>
        <v>9.0909090909090842E-2</v>
      </c>
      <c r="P46">
        <f t="shared" si="10"/>
        <v>4.0909090909090839E-2</v>
      </c>
      <c r="Q46">
        <f t="shared" si="27"/>
        <v>8</v>
      </c>
      <c r="R46">
        <f t="shared" si="28"/>
        <v>0</v>
      </c>
      <c r="S46">
        <f t="shared" si="12"/>
        <v>0</v>
      </c>
      <c r="T46">
        <f t="shared" si="13"/>
        <v>0</v>
      </c>
      <c r="U46">
        <f t="shared" si="14"/>
        <v>0</v>
      </c>
      <c r="V46">
        <f t="shared" si="29"/>
        <v>0</v>
      </c>
      <c r="W46">
        <f t="shared" si="30"/>
        <v>0</v>
      </c>
      <c r="AA46">
        <f t="shared" si="17"/>
        <v>0.11019890687450283</v>
      </c>
    </row>
    <row r="47" spans="4:27" x14ac:dyDescent="0.25">
      <c r="D47">
        <v>2</v>
      </c>
      <c r="E47">
        <f t="shared" si="20"/>
        <v>4</v>
      </c>
      <c r="F47">
        <v>5</v>
      </c>
      <c r="G47">
        <f t="shared" si="18"/>
        <v>32</v>
      </c>
      <c r="H47">
        <f t="shared" si="21"/>
        <v>24</v>
      </c>
      <c r="I47">
        <f t="shared" si="22"/>
        <v>6</v>
      </c>
      <c r="J47">
        <f t="shared" si="23"/>
        <v>304</v>
      </c>
      <c r="K47">
        <f t="shared" si="24"/>
        <v>9.5</v>
      </c>
      <c r="L47">
        <f t="shared" si="25"/>
        <v>7296</v>
      </c>
      <c r="M47">
        <f t="shared" si="26"/>
        <v>57</v>
      </c>
      <c r="N47" s="4">
        <f t="shared" si="19"/>
        <v>9.0909090909090842E-2</v>
      </c>
      <c r="P47">
        <f t="shared" si="10"/>
        <v>4.0909090909090839E-2</v>
      </c>
      <c r="Q47">
        <f t="shared" si="27"/>
        <v>7</v>
      </c>
      <c r="R47">
        <f t="shared" si="28"/>
        <v>0</v>
      </c>
      <c r="S47">
        <f t="shared" si="12"/>
        <v>0</v>
      </c>
      <c r="T47">
        <f t="shared" si="13"/>
        <v>0</v>
      </c>
      <c r="U47">
        <f t="shared" si="14"/>
        <v>0</v>
      </c>
      <c r="V47">
        <f t="shared" si="29"/>
        <v>0</v>
      </c>
      <c r="W47">
        <f t="shared" si="30"/>
        <v>0</v>
      </c>
      <c r="AA47">
        <f t="shared" si="17"/>
        <v>0.11019890687450283</v>
      </c>
    </row>
    <row r="48" spans="4:27" x14ac:dyDescent="0.25">
      <c r="D48">
        <v>2</v>
      </c>
      <c r="E48">
        <f t="shared" si="20"/>
        <v>4</v>
      </c>
      <c r="F48">
        <v>4</v>
      </c>
      <c r="G48">
        <f t="shared" si="18"/>
        <v>16</v>
      </c>
      <c r="H48">
        <f t="shared" si="21"/>
        <v>24</v>
      </c>
      <c r="I48">
        <f t="shared" si="22"/>
        <v>6</v>
      </c>
      <c r="J48">
        <f t="shared" si="23"/>
        <v>152</v>
      </c>
      <c r="K48">
        <f t="shared" si="24"/>
        <v>9.5</v>
      </c>
      <c r="L48">
        <f t="shared" si="25"/>
        <v>3648</v>
      </c>
      <c r="M48">
        <f t="shared" si="26"/>
        <v>57</v>
      </c>
      <c r="N48" s="4">
        <f t="shared" si="19"/>
        <v>9.0909090909090842E-2</v>
      </c>
      <c r="P48">
        <f t="shared" si="10"/>
        <v>4.0909090909090839E-2</v>
      </c>
      <c r="Q48">
        <f t="shared" si="27"/>
        <v>6</v>
      </c>
      <c r="R48">
        <f t="shared" si="28"/>
        <v>0</v>
      </c>
      <c r="S48">
        <f t="shared" si="12"/>
        <v>0</v>
      </c>
      <c r="T48">
        <f t="shared" si="13"/>
        <v>0</v>
      </c>
      <c r="U48">
        <f t="shared" si="14"/>
        <v>0</v>
      </c>
      <c r="V48">
        <f t="shared" si="29"/>
        <v>0</v>
      </c>
      <c r="W48">
        <f t="shared" si="30"/>
        <v>0</v>
      </c>
      <c r="AA48">
        <f t="shared" si="17"/>
        <v>0.11019890687450283</v>
      </c>
    </row>
    <row r="49" spans="4:27" x14ac:dyDescent="0.25">
      <c r="D49">
        <v>2</v>
      </c>
      <c r="E49">
        <f t="shared" si="20"/>
        <v>4</v>
      </c>
      <c r="F49">
        <v>3</v>
      </c>
      <c r="G49">
        <f t="shared" si="18"/>
        <v>8</v>
      </c>
      <c r="H49">
        <f t="shared" si="21"/>
        <v>24</v>
      </c>
      <c r="I49">
        <f t="shared" si="22"/>
        <v>6</v>
      </c>
      <c r="J49">
        <f t="shared" si="23"/>
        <v>76</v>
      </c>
      <c r="K49">
        <f t="shared" si="24"/>
        <v>9.5</v>
      </c>
      <c r="L49">
        <f t="shared" si="25"/>
        <v>1824</v>
      </c>
      <c r="M49">
        <f t="shared" si="26"/>
        <v>57</v>
      </c>
      <c r="N49" s="4">
        <f t="shared" si="19"/>
        <v>9.0909090909090842E-2</v>
      </c>
      <c r="P49">
        <f t="shared" si="10"/>
        <v>4.0909090909090839E-2</v>
      </c>
      <c r="Q49">
        <f t="shared" si="27"/>
        <v>5</v>
      </c>
      <c r="R49">
        <f t="shared" si="28"/>
        <v>0</v>
      </c>
      <c r="S49">
        <f t="shared" si="12"/>
        <v>0</v>
      </c>
      <c r="T49">
        <f t="shared" si="13"/>
        <v>0</v>
      </c>
      <c r="U49">
        <f t="shared" si="14"/>
        <v>0</v>
      </c>
      <c r="V49">
        <f t="shared" si="29"/>
        <v>0</v>
      </c>
      <c r="W49">
        <f t="shared" si="30"/>
        <v>0</v>
      </c>
      <c r="AA49">
        <f t="shared" si="17"/>
        <v>0.11019890687450283</v>
      </c>
    </row>
    <row r="50" spans="4:27" x14ac:dyDescent="0.25">
      <c r="D50">
        <v>2</v>
      </c>
      <c r="E50">
        <f t="shared" si="20"/>
        <v>4</v>
      </c>
      <c r="F50">
        <v>2</v>
      </c>
      <c r="G50">
        <f t="shared" si="18"/>
        <v>4</v>
      </c>
      <c r="H50">
        <f t="shared" si="21"/>
        <v>24</v>
      </c>
      <c r="I50">
        <f t="shared" si="22"/>
        <v>6</v>
      </c>
      <c r="J50">
        <f t="shared" si="23"/>
        <v>36</v>
      </c>
      <c r="K50">
        <f t="shared" si="24"/>
        <v>9</v>
      </c>
      <c r="L50">
        <f t="shared" si="25"/>
        <v>864</v>
      </c>
      <c r="M50">
        <f t="shared" si="26"/>
        <v>54</v>
      </c>
      <c r="N50" s="4">
        <f t="shared" si="19"/>
        <v>0.13875598086124397</v>
      </c>
      <c r="P50">
        <f t="shared" si="10"/>
        <v>8.8755980861243963E-2</v>
      </c>
      <c r="Q50">
        <f t="shared" si="27"/>
        <v>4</v>
      </c>
      <c r="R50">
        <f t="shared" si="28"/>
        <v>0</v>
      </c>
      <c r="S50">
        <f t="shared" si="12"/>
        <v>0</v>
      </c>
      <c r="T50">
        <f t="shared" si="13"/>
        <v>0</v>
      </c>
      <c r="U50">
        <f t="shared" si="14"/>
        <v>0</v>
      </c>
      <c r="V50">
        <f t="shared" si="29"/>
        <v>0</v>
      </c>
      <c r="W50">
        <f t="shared" si="30"/>
        <v>0</v>
      </c>
      <c r="AA50">
        <f t="shared" si="17"/>
        <v>3.4519148076722725E-2</v>
      </c>
    </row>
    <row r="51" spans="4:27" x14ac:dyDescent="0.25">
      <c r="N51" s="1"/>
    </row>
    <row r="52" spans="4:27" x14ac:dyDescent="0.25">
      <c r="N52" s="1"/>
    </row>
    <row r="53" spans="4:27" x14ac:dyDescent="0.25">
      <c r="N53" s="1"/>
    </row>
    <row r="54" spans="4:27" x14ac:dyDescent="0.25">
      <c r="N54" s="1"/>
    </row>
    <row r="55" spans="4:27" x14ac:dyDescent="0.25">
      <c r="N55" s="1"/>
    </row>
    <row r="56" spans="4:27" x14ac:dyDescent="0.25">
      <c r="N56" s="1"/>
    </row>
    <row r="57" spans="4:27" x14ac:dyDescent="0.25">
      <c r="N57" s="1"/>
    </row>
    <row r="58" spans="4:27" x14ac:dyDescent="0.25">
      <c r="N58" s="1"/>
    </row>
    <row r="59" spans="4:27" x14ac:dyDescent="0.25">
      <c r="N59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70" zoomScaleNormal="70" workbookViewId="0">
      <selection activeCell="L25" sqref="L2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Irick</dc:creator>
  <cp:lastModifiedBy>IkennaOkafor</cp:lastModifiedBy>
  <dcterms:created xsi:type="dcterms:W3CDTF">2018-05-16T18:50:57Z</dcterms:created>
  <dcterms:modified xsi:type="dcterms:W3CDTF">2018-05-24T17:43:59Z</dcterms:modified>
</cp:coreProperties>
</file>